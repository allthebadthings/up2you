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inished Inventory" sheetId="2" state="visible" r:id="rId2"/>
    <sheet xmlns:r="http://schemas.openxmlformats.org/officeDocument/2006/relationships" name="Raw Materials" sheetId="3" state="visible" r:id="rId3"/>
    <sheet xmlns:r="http://schemas.openxmlformats.org/officeDocument/2006/relationships" name="Image Management" sheetId="4" state="visible" r:id="rId4"/>
    <sheet xmlns:r="http://schemas.openxmlformats.org/officeDocument/2006/relationships" name="Spool Tracker" sheetId="5" state="visible" r:id="rId5"/>
    <sheet xmlns:r="http://schemas.openxmlformats.org/officeDocument/2006/relationships" name="Usage Log" sheetId="6" state="visible" r:id="rId6"/>
    <sheet xmlns:r="http://schemas.openxmlformats.org/officeDocument/2006/relationships" name="Bundle Builder" sheetId="7" state="visible" r:id="rId7"/>
    <sheet xmlns:r="http://schemas.openxmlformats.org/officeDocument/2006/relationships" name="Search &amp; Filter" sheetId="8" state="visible" r:id="rId8"/>
    <sheet xmlns:r="http://schemas.openxmlformats.org/officeDocument/2006/relationships" name="Image Upload Guide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0.0%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8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0000FF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color rgb="FF008000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i val="1"/>
      <sz val="11"/>
    </font>
    <font>
      <name val="Cambria"/>
      <charset val="1"/>
      <family val="0"/>
      <b val="1"/>
      <color rgb="FFFFFFFF"/>
      <sz val="16"/>
    </font>
    <font>
      <name val="Cambria"/>
      <charset val="1"/>
      <family val="0"/>
      <b val="1"/>
      <sz val="11"/>
    </font>
    <font>
      <name val="Cambria"/>
      <charset val="1"/>
      <family val="0"/>
      <b val="1"/>
      <sz val="12"/>
    </font>
    <font>
      <b val="1"/>
      <color rgb="00FFFFFF"/>
      <sz val="16"/>
    </font>
    <font>
      <b val="1"/>
      <sz val="12"/>
    </font>
    <font>
      <b val="1"/>
      <color rgb="00FFFFFF"/>
    </font>
    <font>
      <b val="1"/>
    </font>
    <font>
      <b val="1"/>
      <color rgb="00FFFFFF"/>
      <sz val="12"/>
    </font>
    <font>
      <color rgb="000000FF"/>
    </font>
    <font>
      <i val="1"/>
      <sz val="9"/>
    </font>
    <font>
      <name val="Calibri"/>
      <family val="2"/>
      <color theme="10"/>
      <sz val="12"/>
      <scheme val="minor"/>
    </font>
    <font>
      <b val="1"/>
      <color rgb="00FFFFFF"/>
      <sz val="13"/>
    </font>
    <font>
      <sz val="11"/>
    </font>
    <font>
      <i val="1"/>
      <sz val="10"/>
    </font>
  </fonts>
  <fills count="20">
    <fill>
      <patternFill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366092"/>
        <bgColor rgb="FF333399"/>
      </patternFill>
    </fill>
    <fill>
      <patternFill patternType="solid">
        <fgColor rgb="FF70AD47"/>
        <bgColor rgb="FF339966"/>
      </patternFill>
    </fill>
    <fill>
      <patternFill patternType="solid">
        <fgColor rgb="FFFFC000"/>
        <bgColor rgb="FFFF9900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E7E6E6"/>
      </patternFill>
    </fill>
    <fill>
      <patternFill patternType="solid">
        <fgColor rgb="FF7030A0"/>
        <bgColor rgb="FF993366"/>
      </patternFill>
    </fill>
    <fill>
      <patternFill patternType="solid">
        <fgColor rgb="FFE7E6E6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00D35400"/>
        <bgColor rgb="00D35400"/>
      </patternFill>
    </fill>
    <fill>
      <patternFill patternType="solid">
        <fgColor rgb="00E7E6E6"/>
        <bgColor rgb="00E7E6E6"/>
      </patternFill>
    </fill>
    <fill>
      <patternFill patternType="solid">
        <fgColor rgb="00E67E22"/>
        <bgColor rgb="00E67E22"/>
      </patternFill>
    </fill>
    <fill>
      <patternFill patternType="solid">
        <fgColor rgb="004285F4"/>
        <bgColor rgb="004285F4"/>
      </patternFill>
    </fill>
    <fill>
      <patternFill patternType="solid">
        <fgColor rgb="00D4EDDA"/>
        <bgColor rgb="00D4EDDA"/>
      </patternFill>
    </fill>
    <fill>
      <patternFill patternType="solid">
        <fgColor rgb="00FFF2CC"/>
        <bgColor rgb="00FFF2CC"/>
      </patternFill>
    </fill>
    <fill>
      <patternFill patternType="solid">
        <fgColor rgb="0016A085"/>
        <bgColor rgb="0016A085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21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center" vertical="center"/>
    </xf>
    <xf numFmtId="4" fontId="7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general" vertical="bottom"/>
    </xf>
    <xf numFmtId="0" fontId="11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9" fillId="8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3" fillId="10" borderId="0" applyAlignment="1" pivotButton="0" quotePrefix="0" xfId="0">
      <alignment horizontal="general" vertical="bottom"/>
    </xf>
    <xf numFmtId="0" fontId="11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center"/>
    </xf>
    <xf numFmtId="0" fontId="16" fillId="19" borderId="0" pivotButton="0" quotePrefix="0" xfId="0"/>
    <xf numFmtId="164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1" fillId="0" borderId="0" pivotButton="0" quotePrefix="0" xfId="6"/>
    <xf numFmtId="0" fontId="20" fillId="17" borderId="0" pivotButton="0" quotePrefix="0" xfId="0"/>
    <xf numFmtId="0" fontId="9" fillId="4" borderId="0" applyAlignment="1" pivotButton="0" quotePrefix="0" xfId="0">
      <alignment horizontal="center" vertical="center"/>
    </xf>
    <xf numFmtId="4" fontId="7" fillId="0" borderId="0" applyAlignment="1" pivotButton="0" quotePrefix="0" xfId="0">
      <alignment horizontal="general" vertical="bottom"/>
    </xf>
    <xf numFmtId="0" fontId="14" fillId="12" borderId="0" applyAlignment="1" pivotButton="0" quotePrefix="0" xfId="0">
      <alignment horizontal="center" vertical="center"/>
    </xf>
    <xf numFmtId="0" fontId="15" fillId="13" borderId="0" pivotButton="0" quotePrefix="0" xfId="0"/>
    <xf numFmtId="0" fontId="16" fillId="14" borderId="0" pivotButton="0" quotePrefix="0" xfId="0"/>
    <xf numFmtId="0" fontId="17" fillId="0" borderId="0" pivotButton="0" quotePrefix="0" xfId="0"/>
    <xf numFmtId="0" fontId="18" fillId="15" borderId="0" pivotButton="0" quotePrefix="0" xfId="0"/>
    <xf numFmtId="0" fontId="19" fillId="0" borderId="0" pivotButton="0" quotePrefix="0" xfId="0"/>
    <xf numFmtId="0" fontId="0" fillId="16" borderId="0" pivotButton="0" quotePrefix="0" xfId="0"/>
    <xf numFmtId="0" fontId="18" fillId="18" borderId="0" pivotButton="0" quotePrefix="0" xfId="0"/>
    <xf numFmtId="0" fontId="16" fillId="18" borderId="0" applyAlignment="1" pivotButton="0" quotePrefix="0" xfId="0">
      <alignment horizontal="center"/>
    </xf>
    <xf numFmtId="0" fontId="20" fillId="0" borderId="0" pivotButton="0" quotePrefix="0" xfId="0"/>
    <xf numFmtId="0" fontId="9" fillId="5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general" vertical="bottom"/>
    </xf>
    <xf numFmtId="0" fontId="11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9" fillId="8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3" fillId="10" borderId="0" applyAlignment="1" pivotButton="0" quotePrefix="0" xfId="0">
      <alignment horizontal="general" vertical="bottom"/>
    </xf>
    <xf numFmtId="0" fontId="11" fillId="11" borderId="0" applyAlignment="1" pivotButton="0" quotePrefix="0" xfId="0">
      <alignment horizontal="center" vertical="center"/>
    </xf>
    <xf numFmtId="0" fontId="22" fillId="14" borderId="0" pivotButton="0" quotePrefix="0" xfId="0"/>
    <xf numFmtId="0" fontId="23" fillId="0" borderId="0" pivotButton="0" quotePrefix="0" xfId="0"/>
    <xf numFmtId="0" fontId="24" fillId="0" borderId="0" pivotButton="0" quotePrefix="0" xfId="0"/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Hyperlink" xfId="6" builtinId="8" hidden="0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E7E6E6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366092"/>
      <rgbColor rgb="FF70AD47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cdn.shopify.com/s/files/1/0936/8656/3183/files/PXL_20250819_174325341.jpg?v=1761563364" TargetMode="External" Id="rId1"/><Relationship Type="http://schemas.openxmlformats.org/officeDocument/2006/relationships/hyperlink" Target="https://cdn.shopify.com/s/files/1/0936/8656/3183/files/PXL_20250819_174912278.jpg?v=1761563366" TargetMode="External" Id="rId2"/><Relationship Type="http://schemas.openxmlformats.org/officeDocument/2006/relationships/hyperlink" Target="https://cdn.shopify.com/s/files/1/0936/8656/3183/files/PXL_20250819_174623882.jpg?v=1761563376" TargetMode="External" Id="rId3"/><Relationship Type="http://schemas.openxmlformats.org/officeDocument/2006/relationships/hyperlink" Target="https://cdn.shopify.com/s/files/1/0936/8656/3183/files/PXL_20250819_193636787.jpg?v=1761563362" TargetMode="External" Id="rId4"/><Relationship Type="http://schemas.openxmlformats.org/officeDocument/2006/relationships/hyperlink" Target="https://cdn.shopify.com/s/files/1/0936/8656/3183/files/PXL_20250819_193703743.jpg?v=1761563376" TargetMode="External" Id="rId5"/><Relationship Type="http://schemas.openxmlformats.org/officeDocument/2006/relationships/hyperlink" Target="https://cdn.shopify.com/s/files/1/0936/8656/3183/files/PXL_20250819_194028193.jpg?v=1761563376" TargetMode="External" Id="rId6"/><Relationship Type="http://schemas.openxmlformats.org/officeDocument/2006/relationships/hyperlink" Target="https://cdn.shopify.com/s/files/1/0936/8656/3183/files/PXL_20250819_174809086.jpg?v=1761563377" TargetMode="External" Id="rId7"/><Relationship Type="http://schemas.openxmlformats.org/officeDocument/2006/relationships/hyperlink" Target="https://cdn.shopify.com/s/files/1/0936/8656/3183/files/necklace6.jpg?v=1764260388" TargetMode="External" Id="rId8"/><Relationship Type="http://schemas.openxmlformats.org/officeDocument/2006/relationships/hyperlink" Target="https://cdn.shopify.com/s/files/1/0936/8656/3183/files/PXL_20250819_193925175.jpg?v=1761563377" TargetMode="External" Id="rId9"/><Relationship Type="http://schemas.openxmlformats.org/officeDocument/2006/relationships/hyperlink" Target="https://cdn.shopify.com/s/files/1/0936/8656/3183/files/PXL_20250819_174217542.jpg?v=1761563377" TargetMode="External" Id="rId10"/><Relationship Type="http://schemas.openxmlformats.org/officeDocument/2006/relationships/hyperlink" Target="https://cdn.shopify.com/s/files/1/0936/8656/3183/files/PXL_20250819_194112806.jpg?v=1761563377" TargetMode="External" Id="rId11"/><Relationship Type="http://schemas.openxmlformats.org/officeDocument/2006/relationships/hyperlink" Target="https://cdn.shopify.com/s/files/1/0936/8656/3183/files/PXL_20250819_175142414.jpg?v=1761563377" TargetMode="External" Id="rId12"/><Relationship Type="http://schemas.openxmlformats.org/officeDocument/2006/relationships/hyperlink" Target="https://cdn.shopify.com/s/files/1/0936/8656/3183/files/PXL_20250819_175715094.jpg?v=1761563377" TargetMode="External" Id="rId13"/><Relationship Type="http://schemas.openxmlformats.org/officeDocument/2006/relationships/hyperlink" Target="https://cdn.shopify.com/s/files/1/0936/8656/3183/files/PXL_20250819_193908769.jpg?v=1761563362" TargetMode="External" Id="rId14"/><Relationship Type="http://schemas.openxmlformats.org/officeDocument/2006/relationships/hyperlink" Target="https://cdn.shopify.com/s/files/1/0936/8656/3183/files/PXL_20250819_180125037.jpg?v=1761563377" TargetMode="External" Id="rId15"/><Relationship Type="http://schemas.openxmlformats.org/officeDocument/2006/relationships/hyperlink" Target="https://cdn.shopify.com/s/files/1/0936/8656/3183/files/PXL_20250819_193744681.jpg?v=1761563378" TargetMode="External" Id="rId16"/><Relationship Type="http://schemas.openxmlformats.org/officeDocument/2006/relationships/hyperlink" Target="https://cdn.shopify.com/s/files/1/0936/8656/3183/files/PXL_20250819_193859192.jpg?v=1761563377" TargetMode="External" Id="rId17"/><Relationship Type="http://schemas.openxmlformats.org/officeDocument/2006/relationships/hyperlink" Target="https://cdn.shopify.com/s/files/1/0936/8656/3183/files/PXL_20250819_174902236.jpg?v=1761563378" TargetMode="External" Id="rId18"/><Relationship Type="http://schemas.openxmlformats.org/officeDocument/2006/relationships/hyperlink" Target="https://cdn.shopify.com/s/files/1/0936/8656/3183/files/PXL_20250819_175801774.jpg?v=1761563379" TargetMode="External" Id="rId19"/><Relationship Type="http://schemas.openxmlformats.org/officeDocument/2006/relationships/hyperlink" Target="https://cdn.shopify.com/s/files/1/0936/8656/3183/files/PXL_20250817_194852243.jpg?v=1761563378" TargetMode="External" Id="rId20"/><Relationship Type="http://schemas.openxmlformats.org/officeDocument/2006/relationships/hyperlink" Target="https://cdn.shopify.com/s/files/1/0936/8656/3183/files/PXL_20250819_194141363.jpg?v=1761563378" TargetMode="External" Id="rId21"/><Relationship Type="http://schemas.openxmlformats.org/officeDocument/2006/relationships/hyperlink" Target="https://cdn.shopify.com/s/files/1/0936/8656/3183/files/PXL_20250819_174127696.jpg?v=1761563378" TargetMode="External" Id="rId22"/><Relationship Type="http://schemas.openxmlformats.org/officeDocument/2006/relationships/hyperlink" Target="https://cdn.shopify.com/s/files/1/0936/8656/3183/files/PXL_20250819_174711261.jpg?v=1761563379" TargetMode="External" Id="rId23"/><Relationship Type="http://schemas.openxmlformats.org/officeDocument/2006/relationships/hyperlink" Target="https://cdn.shopify.com/s/files/1/0936/8656/3183/files/PXL_20250819_173915170.jpg?v=1761563363" TargetMode="External" Id="rId24"/><Relationship Type="http://schemas.openxmlformats.org/officeDocument/2006/relationships/hyperlink" Target="https://cdn.shopify.com/s/files/1/0936/8656/3183/files/PXL_20250819_175708998.jpg?v=1761563378" TargetMode="External" Id="rId25"/><Relationship Type="http://schemas.openxmlformats.org/officeDocument/2006/relationships/hyperlink" Target="https://cdn.shopify.com/s/files/1/0936/8656/3183/files/PXL_20250819_193751317.jpg?v=1761563379" TargetMode="External" Id="rId26"/><Relationship Type="http://schemas.openxmlformats.org/officeDocument/2006/relationships/hyperlink" Target="https://cdn.shopify.com/s/files/1/0936/8656/3183/files/PXL_20250819_193810612.jpg?v=1761563378" TargetMode="External" Id="rId27"/><Relationship Type="http://schemas.openxmlformats.org/officeDocument/2006/relationships/hyperlink" Target="https://cdn.shopify.com/s/files/1/0936/8656/3183/files/PXL_20250819_174850056.jpg?v=1761563379" TargetMode="External" Id="rId28"/><Relationship Type="http://schemas.openxmlformats.org/officeDocument/2006/relationships/hyperlink" Target="https://cdn.shopify.com/s/files/1/0936/8656/3183/files/PXL_20250819_175357425.jpg?v=1761563379" TargetMode="External" Id="rId29"/><Relationship Type="http://schemas.openxmlformats.org/officeDocument/2006/relationships/hyperlink" Target="https://cdn.shopify.com/s/files/1/0936/8656/3183/files/PXL_20250819_193845477.jpg?v=1761563378" TargetMode="External" Id="rId30"/><Relationship Type="http://schemas.openxmlformats.org/officeDocument/2006/relationships/hyperlink" Target="https://cdn.shopify.com/s/files/1/0936/8656/3183/files/PXL_20250819_180139182.jpg?v=1761563379" TargetMode="External" Id="rId31"/><Relationship Type="http://schemas.openxmlformats.org/officeDocument/2006/relationships/hyperlink" Target="https://cdn.shopify.com/s/files/1/0936/8656/3183/files/PXL_20250817_103609251.jpg?v=1761563379" TargetMode="External" Id="rId32"/><Relationship Type="http://schemas.openxmlformats.org/officeDocument/2006/relationships/hyperlink" Target="https://cdn.shopify.com/s/files/1/0936/8656/3183/files/PXL_20250819_174514656.jpg?v=1761563379" TargetMode="External" Id="rId33"/><Relationship Type="http://schemas.openxmlformats.org/officeDocument/2006/relationships/hyperlink" Target="https://cdn.shopify.com/s/files/1/0936/8656/3183/files/PXL_20250819_174140489.jpg?v=1761563379" TargetMode="External" Id="rId34"/><Relationship Type="http://schemas.openxmlformats.org/officeDocument/2006/relationships/hyperlink" Target="https://cdn.shopify.com/s/files/1/0936/8656/3183/files/PXL_20250819_174308561.jpg?v=1761563363" TargetMode="External" Id="rId35"/><Relationship Type="http://schemas.openxmlformats.org/officeDocument/2006/relationships/hyperlink" Target="https://cdn.shopify.com/s/files/1/0936/8656/3183/files/PXL_20250819_174153799.jpg?v=1761563379" TargetMode="External" Id="rId36"/><Relationship Type="http://schemas.openxmlformats.org/officeDocument/2006/relationships/hyperlink" Target="https://cdn.shopify.com/s/files/1/0936/8656/3183/files/PXL_20250819_174633379.jpg?v=1761563380" TargetMode="External" Id="rId37"/><Relationship Type="http://schemas.openxmlformats.org/officeDocument/2006/relationships/hyperlink" Target="https://cdn.shopify.com/s/files/1/0936/8656/3183/files/PXL_20250819_175522351.jpg?v=1761563380" TargetMode="External" Id="rId38"/><Relationship Type="http://schemas.openxmlformats.org/officeDocument/2006/relationships/hyperlink" Target="https://cdn.shopify.com/s/files/1/0936/8656/3183/files/PXL_20250819_174056953.jpg?v=1764438779" TargetMode="External" Id="rId39"/><Relationship Type="http://schemas.openxmlformats.org/officeDocument/2006/relationships/hyperlink" Target="https://cdn.shopify.com/s/files/1/0936/8656/3183/files/PXL_20250819_173821804.jpg?v=1761563379" TargetMode="External" Id="rId40"/><Relationship Type="http://schemas.openxmlformats.org/officeDocument/2006/relationships/hyperlink" Target="https://cdn.shopify.com/s/files/1/0936/8656/3183/files/PXL_20250819_174614104.jpg?v=1761563379" TargetMode="External" Id="rId41"/><Relationship Type="http://schemas.openxmlformats.org/officeDocument/2006/relationships/hyperlink" Target="https://cdn.shopify.com/s/files/1/0936/8656/3183/files/PXL_20250819_174833103.jpg?v=1761563379" TargetMode="External" Id="rId42"/><Relationship Type="http://schemas.openxmlformats.org/officeDocument/2006/relationships/hyperlink" Target="https://cdn.shopify.com/s/files/1/0936/8656/3183/files/PXL_20250819_175556590.jpg?v=1761563380" TargetMode="External" Id="rId43"/><Relationship Type="http://schemas.openxmlformats.org/officeDocument/2006/relationships/hyperlink" Target="https://cdn.shopify.com/s/files/1/0936/8656/3183/files/PXL_20250819_175223893.jpg?v=1761563379" TargetMode="External" Id="rId44"/><Relationship Type="http://schemas.openxmlformats.org/officeDocument/2006/relationships/hyperlink" Target="https://cdn.shopify.com/s/files/1/0936/8656/3183/files/PXL_20250819_174351595.jpg?v=1761563379" TargetMode="External" Id="rId45"/><Relationship Type="http://schemas.openxmlformats.org/officeDocument/2006/relationships/hyperlink" Target="https://cdn.shopify.com/s/files/1/0936/8656/3183/files/PXL_20250819_193630247.jpg?v=1761563364" TargetMode="External" Id="rId46"/><Relationship Type="http://schemas.openxmlformats.org/officeDocument/2006/relationships/hyperlink" Target="https://cdn.shopify.com/s/files/1/0936/8656/3183/files/PXL_20250819_175022035.jpg?v=1761563380" TargetMode="External" Id="rId47"/><Relationship Type="http://schemas.openxmlformats.org/officeDocument/2006/relationships/hyperlink" Target="https://cdn.shopify.com/s/files/1/0936/8656/3183/files/PXL_20250819_174926484.jpg?v=1761563380" TargetMode="External" Id="rId48"/><Relationship Type="http://schemas.openxmlformats.org/officeDocument/2006/relationships/hyperlink" Target="https://cdn.shopify.com/s/files/1/0936/8656/3183/files/PXL_20250819_175104899.jpg?v=1761563380" TargetMode="External" Id="rId49"/><Relationship Type="http://schemas.openxmlformats.org/officeDocument/2006/relationships/hyperlink" Target="https://cdn.shopify.com/s/files/1/0936/8656/3183/files/PXL_20250819_173937234.jpg?v=1761563364" TargetMode="External" Id="rId50"/><Relationship Type="http://schemas.openxmlformats.org/officeDocument/2006/relationships/hyperlink" Target="https://cdn.shopify.com/s/files/1/0936/8656/3183/files/PC000023.jpg?v=1764408730" TargetMode="External" Id="rId51"/><Relationship Type="http://schemas.openxmlformats.org/officeDocument/2006/relationships/hyperlink" Target="https://cdn.shopify.com/s/files/1/0936/8656/3183/files/PXL_20251108_040536996.jpg?v=1762842149" TargetMode="External" Id="rId52"/><Relationship Type="http://schemas.openxmlformats.org/officeDocument/2006/relationships/hyperlink" Target="https://cdn.shopify.com/s/files/1/0936/8656/3183/files/PXL_20251108_040704002.jpg?v=1762842149" TargetMode="External" Id="rId53"/><Relationship Type="http://schemas.openxmlformats.org/officeDocument/2006/relationships/hyperlink" Target="https://cdn.shopify.com/s/files/1/0936/8656/3183/files/PXL_20251108_040710433.jpg?v=1762842150" TargetMode="External" Id="rId54"/><Relationship Type="http://schemas.openxmlformats.org/officeDocument/2006/relationships/hyperlink" Target="https://cdn.shopify.com/s/files/1/0936/8656/3183/files/PXL_20251108_040139833.jpg?v=1762842150" TargetMode="External" Id="rId55"/><Relationship Type="http://schemas.openxmlformats.org/officeDocument/2006/relationships/hyperlink" Target="https://cdn.shopify.com/s/files/1/0936/8656/3183/files/PXL_20251108_040710433_b5b22ba0-df8f-4c1c-9420-452483e97f22.jpg?v=1762842153" TargetMode="External" Id="rId56"/><Relationship Type="http://schemas.openxmlformats.org/officeDocument/2006/relationships/hyperlink" Target="https://cdn.shopify.com/s/files/1/0936/8656/3183/files/PXL_20251108_040221416.jpg?v=1762842153" TargetMode="External" Id="rId57"/><Relationship Type="http://schemas.openxmlformats.org/officeDocument/2006/relationships/hyperlink" Target="https://cdn.shopify.com/s/files/1/0936/8656/3183/files/PXL_20251108_040536996_848b69f9-9d7a-4128-9910-4b318ec32693.jpg?v=1762842153" TargetMode="External" Id="rId58"/><Relationship Type="http://schemas.openxmlformats.org/officeDocument/2006/relationships/hyperlink" Target="https://cdn.shopify.com/s/files/1/0936/8656/3183/files/PXL_20251108_040704002_5f2fa9e7-f049-4444-96fe-962507ec58bc.jpg?v=1762842153" TargetMode="External" Id="rId59"/><Relationship Type="http://schemas.openxmlformats.org/officeDocument/2006/relationships/hyperlink" Target="https://cdn.shopify.com/s/files/1/0936/8656/3183/files/PXL_20251108_042407875.jpg?v=1762842154" TargetMode="External" Id="rId60"/><Relationship Type="http://schemas.openxmlformats.org/officeDocument/2006/relationships/hyperlink" Target="https://cdn.shopify.com/s/files/1/0936/8656/3183/files/PXL_20251108_040221416_23019738-cc17-4575-991a-fc5e788baf0d.jpg?v=1762842155" TargetMode="External" Id="rId61"/><Relationship Type="http://schemas.openxmlformats.org/officeDocument/2006/relationships/hyperlink" Target="https://cdn.shopify.com/s/files/1/0936/8656/3183/files/PXL_20251108_040139833_e6e05fb8-d499-43ef-a509-fd46954be110.jpg?v=1762842155" TargetMode="External" Id="rId62"/><Relationship Type="http://schemas.openxmlformats.org/officeDocument/2006/relationships/hyperlink" Target="https://cdn.shopify.com/s/files/1/0936/8656/3183/files/PXL_20251108_042408086.jpg?v=1762842157" TargetMode="External" Id="rId63"/><Relationship Type="http://schemas.openxmlformats.org/officeDocument/2006/relationships/hyperlink" Target="https://cdn.shopify.com/s/files/1/0936/8656/3183/files/PXL_20251108_042408086_add7bfa5-1b4d-47c0-87d0-b45202f65f62.jpg?v=1762842157" TargetMode="External" Id="rId64"/><Relationship Type="http://schemas.openxmlformats.org/officeDocument/2006/relationships/hyperlink" Target="https://cdn.shopify.com/s/files/1/0936/8656/3183/files/PXL_20251108_041704452.jpg?v=1762842157" TargetMode="External" Id="rId65"/><Relationship Type="http://schemas.openxmlformats.org/officeDocument/2006/relationships/hyperlink" Target="https://cdn.shopify.com/s/files/1/0936/8656/3183/files/PXL_20250819_175826616.jpg?v=1761563373" TargetMode="External" Id="rId66"/><Relationship Type="http://schemas.openxmlformats.org/officeDocument/2006/relationships/hyperlink" Target="https://cdn.shopify.com/s/files/1/0936/8656/3183/files/PXL_20251108_042407875_fa96d9bc-c06e-4a8d-9cd2-db2dba2eefb7.jpg?v=1762842157" TargetMode="External" Id="rId67"/><Relationship Type="http://schemas.openxmlformats.org/officeDocument/2006/relationships/hyperlink" Target="https://cdn.shopify.com/s/files/1/0936/8656/3183/files/PXL_20251108_041441297.jpg?v=1762842158" TargetMode="External" Id="rId68"/><Relationship Type="http://schemas.openxmlformats.org/officeDocument/2006/relationships/hyperlink" Target="https://cdn.shopify.com/s/files/1/0936/8656/3183/files/PXL_20251108_041437230.jpg?v=1762842158" TargetMode="External" Id="rId69"/><Relationship Type="http://schemas.openxmlformats.org/officeDocument/2006/relationships/hyperlink" Target="https://cdn.shopify.com/s/files/1/0936/8656/3183/files/PXL_20250819_194216436.jpg?v=1761563374" TargetMode="External" Id="rId70"/><Relationship Type="http://schemas.openxmlformats.org/officeDocument/2006/relationships/hyperlink" Target="https://cdn.shopify.com/s/files/1/0936/8656/3183/files/PXL_20251108_041704452_63d7c4d2-a9d2-4fe8-9854-30a727e1b632.jpg?v=1762842158" TargetMode="External" Id="rId71"/><Relationship Type="http://schemas.openxmlformats.org/officeDocument/2006/relationships/hyperlink" Target="https://cdn.shopify.com/s/files/1/0936/8656/3183/files/PXL_20251108_041441297_c479b5c5-5763-445f-aa5d-c5912bb09f4a.jpg?v=1762842158" TargetMode="External" Id="rId72"/><Relationship Type="http://schemas.openxmlformats.org/officeDocument/2006/relationships/hyperlink" Target="https://cdn.shopify.com/s/files/1/0936/8656/3183/files/PXL_20251108_035550251.jpg?v=1762842161" TargetMode="External" Id="rId73"/><Relationship Type="http://schemas.openxmlformats.org/officeDocument/2006/relationships/hyperlink" Target="https://cdn.shopify.com/s/files/1/0936/8656/3183/files/PXL_20251108_040221416_5ebbbc43-7c7e-44fa-a43c-835f94bd8b42.jpg?v=1764410285" TargetMode="External" Id="rId74"/><Relationship Type="http://schemas.openxmlformats.org/officeDocument/2006/relationships/hyperlink" Target="https://cdn.shopify.com/s/files/1/0936/8656/3183/files/PC000009-1.jpg?v=1764410217" TargetMode="External" Id="rId75"/><Relationship Type="http://schemas.openxmlformats.org/officeDocument/2006/relationships/hyperlink" Target="https://cdn.shopify.com/s/files/1/0936/8656/3183/files/PC000008.jpg?v=1764410138" TargetMode="External" Id="rId76"/><Relationship Type="http://schemas.openxmlformats.org/officeDocument/2006/relationships/hyperlink" Target="https://cdn.shopify.com/s/files/1/0936/8656/3183/files/PC000009.jpg?v=1764409764" TargetMode="External" Id="rId77"/><Relationship Type="http://schemas.openxmlformats.org/officeDocument/2006/relationships/hyperlink" Target="https://cdn.shopify.com/s/files/1/0936/8656/3183/files/PC000019.jpg?v=1764409461" TargetMode="External" Id="rId78"/><Relationship Type="http://schemas.openxmlformats.org/officeDocument/2006/relationships/hyperlink" Target="https://cdn.shopify.com/s/files/1/0936/8656/3183/files/PC000026.jpg?v=1764409209" TargetMode="External" Id="rId79"/><Relationship Type="http://schemas.openxmlformats.org/officeDocument/2006/relationships/hyperlink" Target="https://cdn.shopify.com/s/files/1/0936/8656/3183/files/PC000021.jpg?v=1764408401" TargetMode="External" Id="rId80"/><Relationship Type="http://schemas.openxmlformats.org/officeDocument/2006/relationships/hyperlink" Target="https://cdn.shopify.com/s/files/1/0936/8656/3183/files/2025-08-13-15-11-39-175.jpg?v=1764403527" TargetMode="External" Id="rId81"/><Relationship Type="http://schemas.openxmlformats.org/officeDocument/2006/relationships/hyperlink" Target="https://cdn.shopify.com/s/files/1/0936/8656/3183/files/2025-08-13-15-12-03-573_1a0c48e4-f63d-46e3-babe-f90043d3ac97.jpg?v=1764403911" TargetMode="External" Id="rId82"/><Relationship Type="http://schemas.openxmlformats.org/officeDocument/2006/relationships/hyperlink" Target="https://cdn.shopify.com/s/files/1/0936/8656/3183/files/2025-08-13-15-12-34-200.jpg?v=1764404329" TargetMode="External" Id="rId83"/><Relationship Type="http://schemas.openxmlformats.org/officeDocument/2006/relationships/hyperlink" Target="https://cdn.shopify.com/s/files/1/0936/8656/3183/files/2025-08-13-15-13-23-968.jpg?v=1763457333" TargetMode="External" Id="rId84"/><Relationship Type="http://schemas.openxmlformats.org/officeDocument/2006/relationships/hyperlink" Target="https://cdn.shopify.com/s/files/1/0936/8656/3183/files/PC000031.jpg?v=1763455154" TargetMode="External" Id="rId85"/><Relationship Type="http://schemas.openxmlformats.org/officeDocument/2006/relationships/hyperlink" Target="https://cdn.shopify.com/s/files/1/0936/8656/3183/files/PC000030.jpg?v=1763455352" TargetMode="External" Id="rId86"/><Relationship Type="http://schemas.openxmlformats.org/officeDocument/2006/relationships/hyperlink" Target="https://cdn.shopify.com/s/files/1/0936/8656/3183/files/2025-08-13-15-14-58-252.jpg?v=1763455281" TargetMode="External" Id="rId87"/><Relationship Type="http://schemas.openxmlformats.org/officeDocument/2006/relationships/hyperlink" Target="https://cdn.shopify.com/s/files/1/0936/8656/3183/files/necklace.jpg?v=1764260282" TargetMode="External" Id="rId88"/><Relationship Type="http://schemas.openxmlformats.org/officeDocument/2006/relationships/hyperlink" Target="https://cdn.shopify.com/s/files/1/0936/8656/3183/files/necklace11.jpg?v=1764260488" TargetMode="External" Id="rId89"/><Relationship Type="http://schemas.openxmlformats.org/officeDocument/2006/relationships/hyperlink" Target="https://cdn.shopify.com/s/files/1/0936/8656/3183/files/2025-08-13-15-22-23-452.jpg?v=1762900134" TargetMode="External" Id="rId90"/><Relationship Type="http://schemas.openxmlformats.org/officeDocument/2006/relationships/hyperlink" Target="https://cdn.shopify.com/s/files/1/0936/8656/3183/files/2025-08-13-15-30-17-387.jpg?v=1764203257" TargetMode="External" Id="rId91"/><Relationship Type="http://schemas.openxmlformats.org/officeDocument/2006/relationships/hyperlink" Target="https://cdn.shopify.com/s/files/1/0936/8656/3183/files/necklace2.jpg?v=1764260317" TargetMode="External" Id="rId92"/><Relationship Type="http://schemas.openxmlformats.org/officeDocument/2006/relationships/hyperlink" Target="https://cdn.shopify.com/s/files/1/0936/8656/3183/files/necklace3.jpg?v=1764260341" TargetMode="External" Id="rId93"/><Relationship Type="http://schemas.openxmlformats.org/officeDocument/2006/relationships/hyperlink" Target="https://cdn.shopify.com/s/files/1/0936/8656/3183/files/necklace5.jpg?v=1764260363" TargetMode="External" Id="rId94"/><Relationship Type="http://schemas.openxmlformats.org/officeDocument/2006/relationships/hyperlink" Target="https://cdn.shopify.com/s/files/1/0936/8656/3183/files/necklace6.jpg?v=1764260388" TargetMode="External" Id="rId95"/><Relationship Type="http://schemas.openxmlformats.org/officeDocument/2006/relationships/hyperlink" Target="https://cdn.shopify.com/s/files/1/0936/8656/3183/files/necklace7.jpg?v=1764260404" TargetMode="External" Id="rId96"/><Relationship Type="http://schemas.openxmlformats.org/officeDocument/2006/relationships/hyperlink" Target="https://cdn.shopify.com/s/files/1/0936/8656/3183/files/necklace8.jpg?v=1764260430" TargetMode="External" Id="rId97"/><Relationship Type="http://schemas.openxmlformats.org/officeDocument/2006/relationships/hyperlink" Target="https://cdn.shopify.com/s/files/1/0936/8656/3183/files/necklace10.jpg?v=1764405246" TargetMode="External" Id="rId98"/><Relationship Type="http://schemas.openxmlformats.org/officeDocument/2006/relationships/hyperlink" Target="https://cdn.shopify.com/s/files/1/0936/8656/3183/files/PC000020.jpg?v=1762922332" TargetMode="External" Id="rId99"/><Relationship Type="http://schemas.openxmlformats.org/officeDocument/2006/relationships/hyperlink" Target="https://cdn.shopify.com/s/files/1/0936/8656/3183/files/PC000030.jpg?v=1763455352" TargetMode="External" Id="rId100"/><Relationship Type="http://schemas.openxmlformats.org/officeDocument/2006/relationships/hyperlink" Target="https://cdn.shopify.com/s/files/1/0936/8656/3183/files/PC000035.jpg?v=1762923738" TargetMode="External" Id="rId101"/><Relationship Type="http://schemas.openxmlformats.org/officeDocument/2006/relationships/hyperlink" Target="https://cdn.shopify.com/s/files/1/0936/8656/3183/files/2025-08-13-15-41-45-646.jpg?v=1762842255" TargetMode="External" Id="rId102"/><Relationship Type="http://schemas.openxmlformats.org/officeDocument/2006/relationships/hyperlink" Target="https://cdn.shopify.com/s/files/1/0936/8656/3183/files/2025-08-13-15-22-52-771.jpg?v=1762842256" TargetMode="External" Id="rId103"/><Relationship Type="http://schemas.openxmlformats.org/officeDocument/2006/relationships/hyperlink" Target="https://cdn.shopify.com/s/files/1/0936/8656/3183/files/2025-08-13-15-18-45-551.jpg?v=1762842257" TargetMode="External" Id="rId104"/><Relationship Type="http://schemas.openxmlformats.org/officeDocument/2006/relationships/hyperlink" Target="https://cdn.shopify.com/s/files/1/0936/8656/3183/files/2025-08-13-15-43-39-219.jpg?v=1762842259" TargetMode="External" Id="rId105"/><Relationship Type="http://schemas.openxmlformats.org/officeDocument/2006/relationships/hyperlink" Target="https://cdn.shopify.com/s/files/1/0936/8656/3183/files/2025-08-13-15-35-45-080.jpg?v=1764407862" TargetMode="External" Id="rId106"/><Relationship Type="http://schemas.openxmlformats.org/officeDocument/2006/relationships/hyperlink" Target="https://cdn.shopify.com/s/files/1/0936/8656/3183/files/2025-08-13-15-40-38-719.jpg?v=1764405929" TargetMode="External" Id="rId107"/><Relationship Type="http://schemas.openxmlformats.org/officeDocument/2006/relationships/hyperlink" Target="https://cdn.shopify.com/s/files/1/0936/8656/3183/files/2025-08-13-15-43-01-058.jpg?v=1764405833" TargetMode="External" Id="rId108"/><Relationship Type="http://schemas.openxmlformats.org/officeDocument/2006/relationships/hyperlink" Target="https://cdn.shopify.com/s/files/1/0936/8656/3183/files/2025-08-13-15-40-13-319.jpg?v=1764406377" TargetMode="External" Id="rId109"/><Relationship Type="http://schemas.openxmlformats.org/officeDocument/2006/relationships/hyperlink" Target="https://cdn.shopify.com/s/files/1/0936/8656/3183/files/PXL_20250819_193836409.jpg?v=1761563376" TargetMode="External" Id="rId110"/><Relationship Type="http://schemas.openxmlformats.org/officeDocument/2006/relationships/hyperlink" Target="https://cdn.shopify.com/s/files/1/0936/8656/3183/files/2025-08-13-15-30-17-387.jpg?v=1764203257" TargetMode="External" Id="rId111"/><Relationship Type="http://schemas.openxmlformats.org/officeDocument/2006/relationships/hyperlink" Target="https://cdn.shopify.com/s/files/1/0936/8656/3183/files/2025-08-13-15-11-31-259.jpg?v=1762842261" TargetMode="External" Id="rId112"/><Relationship Type="http://schemas.openxmlformats.org/officeDocument/2006/relationships/hyperlink" Target="https://cdn.shopify.com/s/files/1/0936/8656/3183/files/2025-08-13-15-41-11-848.jpg?v=1764406519" TargetMode="External" Id="rId113"/><Relationship Type="http://schemas.openxmlformats.org/officeDocument/2006/relationships/hyperlink" Target="https://cdn.shopify.com/s/files/1/0936/8656/3183/files/2025-08-13-15-17-04-185.jpg?v=1764407043" TargetMode="External" Id="rId114"/><Relationship Type="http://schemas.openxmlformats.org/officeDocument/2006/relationships/hyperlink" Target="https://cdn.shopify.com/s/files/1/0936/8656/3183/files/2025-08-13-15-12-03-573.jpg?v=1762842263" TargetMode="External" Id="rId115"/><Relationship Type="http://schemas.openxmlformats.org/officeDocument/2006/relationships/hyperlink" Target="https://cdn.shopify.com/s/files/1/0936/8656/3183/files/2025-08-13-15-42-40-500.jpg?v=1764407485" TargetMode="External" Id="rId116"/><Relationship Type="http://schemas.openxmlformats.org/officeDocument/2006/relationships/hyperlink" Target="https://cdn.shopify.com/s/files/1/0936/8656/3183/files/2025-08-13-15-24-41-601.jpg?v=1764405679" TargetMode="External" Id="rId117"/><Relationship Type="http://schemas.openxmlformats.org/officeDocument/2006/relationships/hyperlink" Target="https://cdn.shopify.com/s/files/1/0936/8656/3183/files/2025-08-13-15-28-49-654.jpg?v=1764405561" TargetMode="External" Id="rId118"/><Relationship Type="http://schemas.openxmlformats.org/officeDocument/2006/relationships/hyperlink" Target="https://cdn.shopify.com/s/files/1/0936/8656/3183/files/2025-08-13-15-11-32-242.jpg?v=1762842263" TargetMode="External" Id="rId119"/><Relationship Type="http://schemas.openxmlformats.org/officeDocument/2006/relationships/hyperlink" Target="https://cdn.shopify.com/s/files/1/0936/8656/3183/files/2025-08-13-15-41-26-414.jpg?v=1764405436" TargetMode="External" Id="rId120"/><Relationship Type="http://schemas.openxmlformats.org/officeDocument/2006/relationships/hyperlink" Target="https://cdn.shopify.com/s/files/1/0936/8656/3183/files/PXL_20250819_194028193.jpg?v=1761563376" TargetMode="External" Id="rId121"/><Relationship Type="http://schemas.openxmlformats.org/officeDocument/2006/relationships/hyperlink" Target="https://cdn.shopify.com/s/files/1/0936/8656/3183/files/2025-08-13-15-36-36-791.jpg?v=1763457129" TargetMode="External" Id="rId122"/><Relationship Type="http://schemas.openxmlformats.org/officeDocument/2006/relationships/hyperlink" Target="https://cdn.shopify.com/s/files/1/0936/8656/3183/files/2025-08-13-15-40-55-935.jpg?v=1762900742" TargetMode="External" Id="rId123"/><Relationship Type="http://schemas.openxmlformats.org/officeDocument/2006/relationships/hyperlink" Target="https://cdn.shopify.com/s/files/1/0936/8656/3183/files/2025-08-13-15-14-58-252.jpg?v=1763455281" TargetMode="External" Id="rId124"/><Relationship Type="http://schemas.openxmlformats.org/officeDocument/2006/relationships/hyperlink" Target="https://cdn.shopify.com/s/files/1/0936/8656/3183/files/2025-08-13-15-24-11-548.jpg?v=1764405338" TargetMode="External" Id="rId125"/><Relationship Type="http://schemas.openxmlformats.org/officeDocument/2006/relationships/hyperlink" Target="https://cdn.shopify.com/s/files/1/0936/8656/3183/files/2025-08-13-15-33-42-522.jpg?v=1763457059" TargetMode="External" Id="rId126"/><Relationship Type="http://schemas.openxmlformats.org/officeDocument/2006/relationships/hyperlink" Target="https://cdn.shopify.com/s/files/1/0936/8656/3183/files/2025-08-13-15-13-23-968.jpg?v=1763457333" TargetMode="External" Id="rId127"/><Relationship Type="http://schemas.openxmlformats.org/officeDocument/2006/relationships/hyperlink" Target="https://cdn.shopify.com/s/files/1/0936/8656/3183/files/2025-08-13-15-22-23-452.jpg?v=1762900134" TargetMode="External" Id="rId128"/><Relationship Type="http://schemas.openxmlformats.org/officeDocument/2006/relationships/hyperlink" Target="https://cdn.shopify.com/s/files/1/0936/8656/3183/files/necklace11.jpg?v=1764260488" TargetMode="External" Id="rId129"/><Relationship Type="http://schemas.openxmlformats.org/officeDocument/2006/relationships/hyperlink" Target="https://cdn.shopify.com/s/files/1/0936/8656/3183/files/necklace10.jpg?v=1764405246" TargetMode="External" Id="rId130"/><Relationship Type="http://schemas.openxmlformats.org/officeDocument/2006/relationships/hyperlink" Target="https://cdn.shopify.com/s/files/1/0936/8656/3183/files/necklace9.jpg?v=1764260443" TargetMode="External" Id="rId131"/><Relationship Type="http://schemas.openxmlformats.org/officeDocument/2006/relationships/hyperlink" Target="https://cdn.shopify.com/s/files/1/0936/8656/3183/files/PXL_20250819_174809086.jpg?v=1761563377" TargetMode="External" Id="rId132"/><Relationship Type="http://schemas.openxmlformats.org/officeDocument/2006/relationships/hyperlink" Target="https://cdn.shopify.com/s/files/1/0936/8656/3183/files/necklace8.jpg?v=1764260430" TargetMode="External" Id="rId133"/><Relationship Type="http://schemas.openxmlformats.org/officeDocument/2006/relationships/hyperlink" Target="https://cdn.shopify.com/s/files/1/0936/8656/3183/files/necklace7.jpg?v=1764260404" TargetMode="External" Id="rId134"/><Relationship Type="http://schemas.openxmlformats.org/officeDocument/2006/relationships/hyperlink" Target="https://cdn.shopify.com/s/files/1/0936/8656/3183/files/necklace5.jpg?v=1764260363" TargetMode="External" Id="rId135"/><Relationship Type="http://schemas.openxmlformats.org/officeDocument/2006/relationships/hyperlink" Target="https://cdn.shopify.com/s/files/1/0936/8656/3183/files/necklace3.jpg?v=1764260341" TargetMode="External" Id="rId136"/><Relationship Type="http://schemas.openxmlformats.org/officeDocument/2006/relationships/hyperlink" Target="https://cdn.shopify.com/s/files/1/0936/8656/3183/files/necklace2.jpg?v=1764260317" TargetMode="External" Id="rId137"/><Relationship Type="http://schemas.openxmlformats.org/officeDocument/2006/relationships/hyperlink" Target="https://cdn.shopify.com/s/files/1/0936/8656/3183/files/necklace.jpg?v=1764260282" TargetMode="External" Id="rId138"/><Relationship Type="http://schemas.openxmlformats.org/officeDocument/2006/relationships/hyperlink" Target="https://cdn.shopify.com/s/files/1/0936/8656/3183/files/PXL_20250819_175637266.jpg?v=1761563376" TargetMode="External" Id="rId139"/><Relationship Type="http://schemas.openxmlformats.org/officeDocument/2006/relationships/hyperlink" Target="https://cdn.shopify.com/s/files/1/0936/8656/3183/files/2025-08-13-15-03-42-900.jpg?v=1764318702" TargetMode="External" Id="rId140"/><Relationship Type="http://schemas.openxmlformats.org/officeDocument/2006/relationships/hyperlink" Target="https://cdn.shopify.com/s/files/1/0936/8656/3183/files/2025-08-13-15-03-42-900_-_Copy.jpg?v=1764405125" TargetMode="External" Id="rId141"/><Relationship Type="http://schemas.openxmlformats.org/officeDocument/2006/relationships/hyperlink" Target="https://cdn.shopify.com/s/files/1/0936/8656/3183/files/2025-08-13-15-07-40-909.jpg?v=1764318704" TargetMode="External" Id="rId142"/><Relationship Type="http://schemas.openxmlformats.org/officeDocument/2006/relationships/hyperlink" Target="https://cdn.shopify.com/s/files/1/0936/8656/3183/files/2025-08-13-15-06-00-967.jpg?v=1764404955" TargetMode="External" Id="rId143"/><Relationship Type="http://schemas.openxmlformats.org/officeDocument/2006/relationships/hyperlink" Target="https://cdn.shopify.com/s/files/1/0936/8656/3183/files/2025-08-13-15-07-46-793.jpg?v=1764404487" TargetMode="External" Id="rId144"/><Relationship Type="http://schemas.openxmlformats.org/officeDocument/2006/relationships/hyperlink" Target="https://cdn.shopify.com/s/files/1/0936/8656/3183/files/PXL_20250819_193925175.jpg?v=1761563377" TargetMode="External" Id="rId145"/><Relationship Type="http://schemas.openxmlformats.org/officeDocument/2006/relationships/hyperlink" Target="https://cdn.shopify.com/s/files/1/0936/8656/3183/files/2025-08-13-15-10-53-279.jpg?v=1764404082" TargetMode="External" Id="rId146"/><Relationship Type="http://schemas.openxmlformats.org/officeDocument/2006/relationships/hyperlink" Target="https://cdn.shopify.com/s/files/1/0936/8656/3183/files/2025-08-13-15-09-51-045.jpg?v=1764407350" TargetMode="External" Id="rId147"/><Relationship Type="http://schemas.openxmlformats.org/officeDocument/2006/relationships/hyperlink" Target="https://cdn.shopify.com/s/files/1/0936/8656/3183/files/2025-08-13-15-33-42-522.jpg?v=1763457059" TargetMode="External" Id="rId148"/><Relationship Type="http://schemas.openxmlformats.org/officeDocument/2006/relationships/hyperlink" Target="https://cdn.shopify.com/s/files/1/0936/8656/3183/files/2025-08-13-15-36-36-791.jpg?v=1763457129" TargetMode="External" Id="rId149"/><Relationship Type="http://schemas.openxmlformats.org/officeDocument/2006/relationships/hyperlink" Target="https://cdn.shopify.com/s/files/1/0936/8656/3183/files/PXL_20251107_203937443.jpg?v=1762841835" TargetMode="External" Id="rId150"/><Relationship Type="http://schemas.openxmlformats.org/officeDocument/2006/relationships/hyperlink" Target="https://cdn.shopify.com/s/files/1/0936/8656/3183/files/PXL_20251107_203646989.jpg?v=1762841836" TargetMode="External" Id="rId151"/><Relationship Type="http://schemas.openxmlformats.org/officeDocument/2006/relationships/hyperlink" Target="https://cdn.shopify.com/s/files/1/0936/8656/3183/files/PXL_20251107_204541238.jpg?v=1762841836" TargetMode="External" Id="rId152"/><Relationship Type="http://schemas.openxmlformats.org/officeDocument/2006/relationships/hyperlink" Target="https://cdn.shopify.com/s/files/1/0936/8656/3183/files/PXL_20251107_204921329.jpg?v=1762841836" TargetMode="External" Id="rId153"/><Relationship Type="http://schemas.openxmlformats.org/officeDocument/2006/relationships/hyperlink" Target="https://cdn.shopify.com/s/files/1/0936/8656/3183/files/PXL_20251107_203408558.jpg?v=1762841836" TargetMode="External" Id="rId154"/><Relationship Type="http://schemas.openxmlformats.org/officeDocument/2006/relationships/hyperlink" Target="https://cdn.shopify.com/s/files/1/0936/8656/3183/files/PXL_20251107_204527489.jpg?v=1762841836" TargetMode="External" Id="rId155"/><Relationship Type="http://schemas.openxmlformats.org/officeDocument/2006/relationships/hyperlink" Target="https://cdn.shopify.com/s/files/1/0936/8656/3183/files/PXL_20251107_205241111.jpg?v=1762841836" TargetMode="External" Id="rId156"/><Relationship Type="http://schemas.openxmlformats.org/officeDocument/2006/relationships/hyperlink" Target="https://cdn.shopify.com/s/files/1/0936/8656/3183/files/PXL_20251107_204459650.jpg?v=1762841836" TargetMode="External" Id="rId157"/><Relationship Type="http://schemas.openxmlformats.org/officeDocument/2006/relationships/hyperlink" Target="https://cdn.shopify.com/s/files/1/0936/8656/3183/files/PXL_20251107_203450235.jpg?v=1762841836" TargetMode="External" Id="rId158"/><Relationship Type="http://schemas.openxmlformats.org/officeDocument/2006/relationships/hyperlink" Target="https://cdn.shopify.com/s/files/1/0936/8656/3183/files/PXL_20251107_204351043.jpg?v=1762841836" TargetMode="External" Id="rId159"/><Relationship Type="http://schemas.openxmlformats.org/officeDocument/2006/relationships/hyperlink" Target="https://cdn.shopify.com/s/files/1/0936/8656/3183/files/PXL_20251107_205112072.jpg?v=1762841836" TargetMode="External" Id="rId160"/><Relationship Type="http://schemas.openxmlformats.org/officeDocument/2006/relationships/hyperlink" Target="https://cdn.shopify.com/s/files/1/0936/8656/3183/files/PXL_20251107_205016172.jpg?v=1762841836" TargetMode="External" Id="rId161"/><Relationship Type="http://schemas.openxmlformats.org/officeDocument/2006/relationships/hyperlink" Target="https://cdn.shopify.com/s/files/1/0936/8656/3183/files/PXL_20251107_204614130.jpg?v=1762841836" TargetMode="External" Id="rId162"/><Relationship Type="http://schemas.openxmlformats.org/officeDocument/2006/relationships/hyperlink" Target="https://cdn.shopify.com/s/files/1/0936/8656/3183/files/PXL_20251107_203928741.jpg?v=1762841836" TargetMode="External" Id="rId163"/><Relationship Type="http://schemas.openxmlformats.org/officeDocument/2006/relationships/hyperlink" Target="https://cdn.shopify.com/s/files/1/0936/8656/3183/files/PXL_20251107_204618356.jpg?v=1762841837" TargetMode="External" Id="rId164"/><Relationship Type="http://schemas.openxmlformats.org/officeDocument/2006/relationships/hyperlink" Target="https://cdn.shopify.com/s/files/1/0936/8656/3183/files/PXL_20251107_205030364.jpg?v=1762841836" TargetMode="External" Id="rId165"/><Relationship Type="http://schemas.openxmlformats.org/officeDocument/2006/relationships/hyperlink" Target="https://cdn.shopify.com/s/files/1/0936/8656/3183/files/PXL_20251107_203213974.jpg?v=1762841836" TargetMode="External" Id="rId166"/><Relationship Type="http://schemas.openxmlformats.org/officeDocument/2006/relationships/hyperlink" Target="https://cdn.shopify.com/s/files/1/0936/8656/3183/files/PXL_20251107_205800034.jpg?v=1762842111" TargetMode="External" Id="rId167"/><Relationship Type="http://schemas.openxmlformats.org/officeDocument/2006/relationships/hyperlink" Target="https://cdn.shopify.com/s/files/1/0936/8656/3183/files/PXL_20251107_205946254.jpg?v=1762842112" TargetMode="External" Id="rId168"/><Relationship Type="http://schemas.openxmlformats.org/officeDocument/2006/relationships/hyperlink" Target="https://cdn.shopify.com/s/files/1/0936/8656/3183/files/PXL_20251107_210035946.jpg?v=1762842112" TargetMode="External" Id="rId169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26" min="1" max="1"/>
    <col width="60" customWidth="1" style="26" min="2" max="2"/>
  </cols>
  <sheetData>
    <row r="1" ht="30" customHeight="1" s="27">
      <c r="A1" s="28" t="inlineStr">
        <is>
          <t>JEWELRY INVENTORY SYSTEM - USER GUIDE</t>
        </is>
      </c>
    </row>
    <row r="3" ht="15" customHeight="1" s="27">
      <c r="A3" s="29" t="inlineStr">
        <is>
          <t>GETTING STARTED</t>
        </is>
      </c>
    </row>
    <row r="4" ht="15" customHeight="1" s="27">
      <c r="A4" s="26" t="inlineStr">
        <is>
          <t>This workbook helps you manage your jewelry business inventory with ease.</t>
        </is>
      </c>
    </row>
    <row r="6" ht="15" customHeight="1" s="27">
      <c r="A6" s="29" t="inlineStr">
        <is>
          <t>SHEET OVERVIEW</t>
        </is>
      </c>
    </row>
    <row r="7" ht="15" customHeight="1" s="27">
      <c r="A7" s="26" t="inlineStr">
        <is>
          <t>1. Finished Inventory</t>
        </is>
      </c>
      <c r="B7" s="26" t="inlineStr">
        <is>
          <t>Your completed jewelry pieces ready for sale</t>
        </is>
      </c>
    </row>
    <row r="8" ht="15" customHeight="1" s="27">
      <c r="A8" s="26" t="inlineStr">
        <is>
          <t>2. Raw Materials</t>
        </is>
      </c>
      <c r="B8" s="26" t="inlineStr">
        <is>
          <t>Track chains, gemstones, findings, and other supplies</t>
        </is>
      </c>
    </row>
    <row r="9" ht="15" customHeight="1" s="27">
      <c r="A9" s="26" t="inlineStr">
        <is>
          <t>3. Spool Tracker</t>
        </is>
      </c>
      <c r="B9" s="26" t="inlineStr">
        <is>
          <t>Monitor chain/wire spools and remaining material</t>
        </is>
      </c>
    </row>
    <row r="10" ht="15" customHeight="1" s="27">
      <c r="A10" s="26" t="inlineStr">
        <is>
          <t>4. Usage Log</t>
        </is>
      </c>
      <c r="B10" s="26" t="inlineStr">
        <is>
          <t>Record when you cut material from spools</t>
        </is>
      </c>
    </row>
    <row r="11" ht="15" customHeight="1" s="27">
      <c r="A11" s="26" t="inlineStr">
        <is>
          <t>5. Bundle Builder</t>
        </is>
      </c>
      <c r="B11" s="26" t="inlineStr">
        <is>
          <t>Create custom bundles by entering SKUs</t>
        </is>
      </c>
    </row>
    <row r="12" ht="15" customHeight="1" s="27">
      <c r="A12" s="26" t="inlineStr">
        <is>
          <t>6. Search &amp; Filter</t>
        </is>
      </c>
      <c r="B12" s="26" t="inlineStr">
        <is>
          <t>Quick stats and search tools</t>
        </is>
      </c>
    </row>
    <row r="14" ht="15" customHeight="1" s="27">
      <c r="A14" s="29" t="inlineStr">
        <is>
          <t>HOW TO USE THE SPOOL TRACKER</t>
        </is>
      </c>
    </row>
    <row r="15" ht="15" customHeight="1" s="27">
      <c r="A15" s="30" t="inlineStr">
        <is>
          <t>Step 1:</t>
        </is>
      </c>
      <c r="B15" s="26" t="inlineStr">
        <is>
          <t>Add a new spool to the "Spool Tracker" sheet</t>
        </is>
      </c>
    </row>
    <row r="16" ht="15" customHeight="1" s="27">
      <c r="A16" s="30" t="inlineStr">
        <is>
          <t>Step 2:</t>
        </is>
      </c>
      <c r="B16" s="26" t="inlineStr">
        <is>
          <t>Enter Original Length and Current Length (both start the same)</t>
        </is>
      </c>
    </row>
    <row r="17" ht="15" customHeight="1" s="27">
      <c r="A17" s="30" t="inlineStr">
        <is>
          <t>Step 3:</t>
        </is>
      </c>
      <c r="B17" s="26" t="inlineStr">
        <is>
          <t>When you cut material, log it in the "Usage Log" sheet</t>
        </is>
      </c>
    </row>
    <row r="18" ht="15" customHeight="1" s="27">
      <c r="A18" s="30" t="inlineStr">
        <is>
          <t>Step 4:</t>
        </is>
      </c>
      <c r="B18" s="26" t="inlineStr">
        <is>
          <t>Update the "Current Length" in Spool Tracker</t>
        </is>
      </c>
    </row>
    <row r="19" ht="15" customHeight="1" s="27">
      <c r="B19" s="26" t="inlineStr">
        <is>
          <t>The "Used" column will automatically calculate how much you've used</t>
        </is>
      </c>
    </row>
    <row r="21" ht="15" customHeight="1" s="27">
      <c r="A21" s="29" t="inlineStr">
        <is>
          <t>HOW TO ADD NEW FINISHED INVENTORY</t>
        </is>
      </c>
    </row>
    <row r="22" ht="15" customHeight="1" s="27">
      <c r="A22" s="30" t="inlineStr">
        <is>
          <t>Step 1:</t>
        </is>
      </c>
      <c r="B22" s="26" t="inlineStr">
        <is>
          <t>Go to "Finished Inventory" sheet</t>
        </is>
      </c>
    </row>
    <row r="23" ht="15" customHeight="1" s="27">
      <c r="A23" s="30" t="inlineStr">
        <is>
          <t>Step 2:</t>
        </is>
      </c>
      <c r="B23" s="26" t="inlineStr">
        <is>
          <t>Find the next empty row</t>
        </is>
      </c>
    </row>
    <row r="24" ht="15" customHeight="1" s="27">
      <c r="A24" s="30" t="inlineStr">
        <is>
          <t>Step 3:</t>
        </is>
      </c>
      <c r="B24" s="26" t="inlineStr">
        <is>
          <t>Enter SKU, Category, Name, Description</t>
        </is>
      </c>
    </row>
    <row r="25" ht="15" customHeight="1" s="27">
      <c r="A25" s="30" t="inlineStr">
        <is>
          <t>Step 4:</t>
        </is>
      </c>
      <c r="B25" s="26" t="inlineStr">
        <is>
          <t>Enter Metal, Size, Price, and Cost (in BLUE cells)</t>
        </is>
      </c>
    </row>
    <row r="26" ht="15" customHeight="1" s="27">
      <c r="B26" s="26" t="inlineStr">
        <is>
          <t>Profit and Margin % will calculate automatically</t>
        </is>
      </c>
    </row>
    <row r="28" ht="15" customHeight="1" s="27">
      <c r="A28" s="29" t="inlineStr">
        <is>
          <t>HOW TO CREATE BUNDLES</t>
        </is>
      </c>
    </row>
    <row r="29" ht="15" customHeight="1" s="27">
      <c r="A29" s="30" t="inlineStr">
        <is>
          <t>Step 1:</t>
        </is>
      </c>
      <c r="B29" s="26" t="inlineStr">
        <is>
          <t>Go to "Bundle Builder" sheet</t>
        </is>
      </c>
    </row>
    <row r="30" ht="15" customHeight="1" s="27">
      <c r="A30" s="30" t="inlineStr">
        <is>
          <t>Step 2:</t>
        </is>
      </c>
      <c r="B30" s="26" t="inlineStr">
        <is>
          <t>Enter a Bundle Name</t>
        </is>
      </c>
    </row>
    <row r="31" ht="15" customHeight="1" s="27">
      <c r="A31" s="30" t="inlineStr">
        <is>
          <t>Step 3:</t>
        </is>
      </c>
      <c r="B31" s="26" t="inlineStr">
        <is>
          <t>Type SKUs from your inventory in the SKU column</t>
        </is>
      </c>
    </row>
    <row r="32" ht="15" customHeight="1" s="27">
      <c r="B32" s="26" t="inlineStr">
        <is>
          <t>Item details will auto-fill from your inventory</t>
        </is>
      </c>
    </row>
    <row r="33" ht="15" customHeight="1" s="27">
      <c r="A33" s="30" t="inlineStr">
        <is>
          <t>Step 4:</t>
        </is>
      </c>
      <c r="B33" s="26" t="inlineStr">
        <is>
          <t>Set a discount % if desired</t>
        </is>
      </c>
    </row>
    <row r="34" ht="15" customHeight="1" s="27">
      <c r="A34" s="30" t="inlineStr">
        <is>
          <t>Step 5:</t>
        </is>
      </c>
      <c r="B34" s="26" t="inlineStr">
        <is>
          <t>Toggle "Yes/No" to include/exclude items</t>
        </is>
      </c>
    </row>
    <row r="36" ht="15" customHeight="1" s="27">
      <c r="A36" s="29" t="inlineStr">
        <is>
          <t>COLOR CODING</t>
        </is>
      </c>
    </row>
    <row r="37" ht="15" customHeight="1" s="27">
      <c r="A37" s="31" t="inlineStr">
        <is>
          <t>BLUE text</t>
        </is>
      </c>
      <c r="B37" s="26" t="inlineStr">
        <is>
          <t>Input cells - enter your data here</t>
        </is>
      </c>
    </row>
    <row r="38" ht="15" customHeight="1" s="27">
      <c r="A38" s="26" t="inlineStr">
        <is>
          <t>BLACK text</t>
        </is>
      </c>
      <c r="B38" s="26" t="inlineStr">
        <is>
          <t>Calculated formulas - do not edit</t>
        </is>
      </c>
    </row>
    <row r="39" ht="15" customHeight="1" s="27">
      <c r="A39" s="32" t="inlineStr">
        <is>
          <t>GREEN text</t>
        </is>
      </c>
      <c r="B39" s="26" t="inlineStr">
        <is>
          <t>Links to other sheets in this workbook</t>
        </is>
      </c>
    </row>
    <row r="41" ht="15" customHeight="1" s="27">
      <c r="A41" s="29" t="inlineStr">
        <is>
          <t>TIPS</t>
        </is>
      </c>
    </row>
    <row r="42" ht="15" customHeight="1" s="27">
      <c r="A42" s="26" t="inlineStr">
        <is>
          <t>• Use Excel's AutoFilter (Data &gt; Filter) for advanced searching</t>
        </is>
      </c>
    </row>
    <row r="43" ht="15" customHeight="1" s="27">
      <c r="A43" s="26" t="inlineStr">
        <is>
          <t>• Each finished piece should have a unique SKU</t>
        </is>
      </c>
    </row>
    <row r="44" ht="15" customHeight="1" s="27">
      <c r="A44" s="26" t="inlineStr">
        <is>
          <t>• Keep Cost data updated for accurate profit tracking</t>
        </is>
      </c>
    </row>
    <row r="45" ht="15" customHeight="1" s="27">
      <c r="A45" s="26" t="inlineStr">
        <is>
          <t>• Tags column can hold keywords for easier searching</t>
        </is>
      </c>
    </row>
  </sheetData>
  <mergeCells count="8">
    <mergeCell ref="A1:D1"/>
    <mergeCell ref="A6:D6"/>
    <mergeCell ref="A3:D3"/>
    <mergeCell ref="A21:D21"/>
    <mergeCell ref="A41:D41"/>
    <mergeCell ref="A28:D28"/>
    <mergeCell ref="A36:D36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2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26" min="1" max="1"/>
    <col width="12" customWidth="1" style="26" min="2" max="2"/>
    <col width="30" customWidth="1" style="26" min="3" max="3"/>
    <col width="40" customWidth="1" style="26" min="4" max="4"/>
    <col width="18" customWidth="1" style="26" min="5" max="5"/>
    <col width="10" customWidth="1" style="26" min="6" max="6"/>
    <col width="12" customWidth="1" style="26" min="7" max="10"/>
    <col width="10" customWidth="1" style="26" min="11" max="11"/>
    <col width="30" customWidth="1" style="26" min="12" max="12"/>
    <col width="50" customWidth="1" style="26" min="13" max="13"/>
    <col width="25" customWidth="1" style="26" min="14" max="14"/>
  </cols>
  <sheetData>
    <row r="1" ht="15" customHeight="1" s="27">
      <c r="A1" s="33" t="inlineStr">
        <is>
          <t>SKU</t>
        </is>
      </c>
      <c r="B1" s="33" t="inlineStr">
        <is>
          <t>Category</t>
        </is>
      </c>
      <c r="C1" s="33" t="inlineStr">
        <is>
          <t>Name</t>
        </is>
      </c>
      <c r="D1" s="33" t="inlineStr">
        <is>
          <t>Description</t>
        </is>
      </c>
      <c r="E1" s="33" t="inlineStr">
        <is>
          <t>Metal</t>
        </is>
      </c>
      <c r="F1" s="33" t="inlineStr">
        <is>
          <t>Size</t>
        </is>
      </c>
      <c r="G1" s="33" t="inlineStr">
        <is>
          <t>Price</t>
        </is>
      </c>
      <c r="H1" s="33" t="inlineStr">
        <is>
          <t>MSRP</t>
        </is>
      </c>
      <c r="I1" s="33" t="inlineStr">
        <is>
          <t>Cost</t>
        </is>
      </c>
      <c r="J1" s="33" t="inlineStr">
        <is>
          <t>Profit</t>
        </is>
      </c>
      <c r="K1" s="33" t="inlineStr">
        <is>
          <t>Margin %</t>
        </is>
      </c>
      <c r="L1" s="33" t="inlineStr">
        <is>
          <t>Notes</t>
        </is>
      </c>
      <c r="M1" s="33" t="inlineStr">
        <is>
          <t>Images</t>
        </is>
      </c>
      <c r="N1" s="33" t="inlineStr">
        <is>
          <t>Tags</t>
        </is>
      </c>
      <c r="P1" s="34" t="inlineStr">
        <is>
          <t>VIEW IMAGES →</t>
        </is>
      </c>
    </row>
    <row r="2" ht="15" customHeight="1" s="27">
      <c r="A2" s="26" t="inlineStr">
        <is>
          <t>BRAC_PP10</t>
        </is>
      </c>
      <c r="B2" s="26" t="inlineStr">
        <is>
          <t>bracelet</t>
        </is>
      </c>
      <c r="C2" s="26" t="inlineStr">
        <is>
          <t>Bracelet - Photo Print 10</t>
        </is>
      </c>
      <c r="D2" s="26" t="inlineStr">
        <is>
          <t>Photo Print ID: Photo Print 10</t>
        </is>
      </c>
      <c r="G2" s="35" t="n"/>
      <c r="H2" s="35" t="n"/>
      <c r="I2" s="35" t="n"/>
      <c r="J2" s="36">
        <f>IF(AND(G2&lt;&gt;"",I2&lt;&gt;""),G2-I2,"")</f>
        <v/>
      </c>
      <c r="K2" s="37">
        <f>IF(AND(G2&lt;&gt;"",G2&lt;&gt;0),J2/G2,"")</f>
        <v/>
      </c>
      <c r="L2" s="26" t="inlineStr">
        <is>
          <t>Photo Print: Photo Print 10</t>
        </is>
      </c>
      <c r="M2" s="38" t="inlineStr">
        <is>
          <t>https://cdn.shopify.com/s/files/1/0936/8656/3183/files/PXL_20250819_174325341.jpg?v=1761563364</t>
        </is>
      </c>
      <c r="P2" s="39" t="inlineStr">
        <is>
          <t>To view images: Click the URL in column M, or right-click &gt; Open Hyperlink</t>
        </is>
      </c>
    </row>
    <row r="3" ht="15" customHeight="1" s="27">
      <c r="A3" s="26" t="inlineStr">
        <is>
          <t>BRAC_PP20</t>
        </is>
      </c>
      <c r="B3" s="26" t="inlineStr">
        <is>
          <t>bracelet</t>
        </is>
      </c>
      <c r="C3" s="26" t="inlineStr">
        <is>
          <t>Bracelet - Photo Print 20</t>
        </is>
      </c>
      <c r="D3" s="26" t="inlineStr">
        <is>
          <t>Photo Print ID: Photo Print 20</t>
        </is>
      </c>
      <c r="G3" s="35" t="n"/>
      <c r="H3" s="35" t="n"/>
      <c r="I3" s="35" t="n"/>
      <c r="J3" s="36">
        <f>IF(AND(G3&lt;&gt;"",I3&lt;&gt;""),G3-I3,"")</f>
        <v/>
      </c>
      <c r="K3" s="37">
        <f>IF(AND(G3&lt;&gt;"",G3&lt;&gt;0),J3/G3,"")</f>
        <v/>
      </c>
      <c r="L3" s="26" t="inlineStr">
        <is>
          <t>Photo Print: Photo Print 20</t>
        </is>
      </c>
      <c r="M3" s="38" t="inlineStr">
        <is>
          <t>https://cdn.shopify.com/s/files/1/0936/8656/3183/files/PXL_20250819_174912278.jpg?v=1761563366</t>
        </is>
      </c>
    </row>
    <row r="4" ht="15" customHeight="1" s="27">
      <c r="A4" s="26" t="inlineStr">
        <is>
          <t>BRAC_PP39</t>
        </is>
      </c>
      <c r="B4" s="26" t="inlineStr">
        <is>
          <t>bracelet</t>
        </is>
      </c>
      <c r="C4" s="26" t="inlineStr">
        <is>
          <t>Bracelet - Photo Print 39</t>
        </is>
      </c>
      <c r="D4" s="26" t="inlineStr">
        <is>
          <t>Photo Print ID: Photo Print 39</t>
        </is>
      </c>
      <c r="G4" s="35" t="n"/>
      <c r="H4" s="35" t="n"/>
      <c r="I4" s="35" t="n"/>
      <c r="J4" s="36">
        <f>IF(AND(G4&lt;&gt;"",I4&lt;&gt;""),G4-I4,"")</f>
        <v/>
      </c>
      <c r="K4" s="37">
        <f>IF(AND(G4&lt;&gt;"",G4&lt;&gt;0),J4/G4,"")</f>
        <v/>
      </c>
      <c r="L4" s="26" t="inlineStr">
        <is>
          <t>Photo Print: Photo Print 39</t>
        </is>
      </c>
      <c r="M4" s="38" t="inlineStr">
        <is>
          <t>https://cdn.shopify.com/s/files/1/0936/8656/3183/files/PXL_20250819_174623882.jpg?v=1761563376</t>
        </is>
      </c>
    </row>
    <row r="5" ht="15" customHeight="1" s="27">
      <c r="A5" s="26" t="inlineStr">
        <is>
          <t>BRAC_PP4</t>
        </is>
      </c>
      <c r="B5" s="26" t="inlineStr">
        <is>
          <t>bracelet</t>
        </is>
      </c>
      <c r="C5" s="26" t="inlineStr">
        <is>
          <t>Bracelet - Photo Print 4</t>
        </is>
      </c>
      <c r="D5" s="26" t="inlineStr">
        <is>
          <t>Photo Print ID: Photo Print 4</t>
        </is>
      </c>
      <c r="G5" s="35" t="n"/>
      <c r="H5" s="35" t="n"/>
      <c r="I5" s="35" t="n"/>
      <c r="J5" s="36">
        <f>IF(AND(G5&lt;&gt;"",I5&lt;&gt;""),G5-I5,"")</f>
        <v/>
      </c>
      <c r="K5" s="37">
        <f>IF(AND(G5&lt;&gt;"",G5&lt;&gt;0),J5/G5,"")</f>
        <v/>
      </c>
      <c r="L5" s="26" t="inlineStr">
        <is>
          <t>Photo Print: Photo Print 4</t>
        </is>
      </c>
      <c r="M5" s="38" t="inlineStr">
        <is>
          <t>https://cdn.shopify.com/s/files/1/0936/8656/3183/files/PXL_20250819_193636787.jpg?v=1761563362</t>
        </is>
      </c>
    </row>
    <row r="6" ht="15" customHeight="1" s="27">
      <c r="A6" s="26" t="inlineStr">
        <is>
          <t>BRAC_PP40</t>
        </is>
      </c>
      <c r="B6" s="26" t="inlineStr">
        <is>
          <t>bracelet</t>
        </is>
      </c>
      <c r="C6" s="26" t="inlineStr">
        <is>
          <t>Bracelet - Photo Print 40</t>
        </is>
      </c>
      <c r="D6" s="26" t="inlineStr">
        <is>
          <t>Photo Print ID: Photo Print 40</t>
        </is>
      </c>
      <c r="G6" s="35" t="n"/>
      <c r="H6" s="35" t="n"/>
      <c r="I6" s="35" t="n"/>
      <c r="J6" s="36">
        <f>IF(AND(G6&lt;&gt;"",I6&lt;&gt;""),G6-I6,"")</f>
        <v/>
      </c>
      <c r="K6" s="37">
        <f>IF(AND(G6&lt;&gt;"",G6&lt;&gt;0),J6/G6,"")</f>
        <v/>
      </c>
      <c r="L6" s="26" t="inlineStr">
        <is>
          <t>Photo Print: Photo Print 40</t>
        </is>
      </c>
      <c r="M6" s="38" t="inlineStr">
        <is>
          <t>https://cdn.shopify.com/s/files/1/0936/8656/3183/files/PXL_20250819_193703743.jpg?v=1761563376</t>
        </is>
      </c>
    </row>
    <row r="7" ht="15" customHeight="1" s="27">
      <c r="A7" s="26" t="inlineStr">
        <is>
          <t>BRAC_PP42</t>
        </is>
      </c>
      <c r="B7" s="26" t="inlineStr">
        <is>
          <t>bracelet</t>
        </is>
      </c>
      <c r="C7" s="26" t="inlineStr">
        <is>
          <t>Bracelet - Photo Print 42</t>
        </is>
      </c>
      <c r="D7" s="26" t="inlineStr">
        <is>
          <t>Photo Print ID: Photo Print 42</t>
        </is>
      </c>
      <c r="G7" s="35" t="n"/>
      <c r="H7" s="35" t="n"/>
      <c r="I7" s="35" t="n"/>
      <c r="J7" s="36">
        <f>IF(AND(G7&lt;&gt;"",I7&lt;&gt;""),G7-I7,"")</f>
        <v/>
      </c>
      <c r="K7" s="37">
        <f>IF(AND(G7&lt;&gt;"",G7&lt;&gt;0),J7/G7,"")</f>
        <v/>
      </c>
      <c r="L7" s="26" t="inlineStr">
        <is>
          <t>Photo Print: Photo Print 42</t>
        </is>
      </c>
      <c r="M7" s="38" t="inlineStr">
        <is>
          <t>https://cdn.shopify.com/s/files/1/0936/8656/3183/files/PXL_20250819_194028193.jpg?v=1761563376</t>
        </is>
      </c>
    </row>
    <row r="8" ht="15" customHeight="1" s="27">
      <c r="A8" s="26" t="inlineStr">
        <is>
          <t>BRAC_PP43</t>
        </is>
      </c>
      <c r="B8" s="26" t="inlineStr">
        <is>
          <t>bracelet</t>
        </is>
      </c>
      <c r="C8" s="26" t="inlineStr">
        <is>
          <t>Bracelet - Photo Print 43</t>
        </is>
      </c>
      <c r="D8" s="26" t="inlineStr">
        <is>
          <t>Photo Print ID: Photo Print 43</t>
        </is>
      </c>
      <c r="G8" s="35" t="n"/>
      <c r="H8" s="35" t="n"/>
      <c r="I8" s="35" t="n"/>
      <c r="J8" s="36">
        <f>IF(AND(G8&lt;&gt;"",I8&lt;&gt;""),G8-I8,"")</f>
        <v/>
      </c>
      <c r="K8" s="37">
        <f>IF(AND(G8&lt;&gt;"",G8&lt;&gt;0),J8/G8,"")</f>
        <v/>
      </c>
      <c r="L8" s="26" t="inlineStr">
        <is>
          <t>Photo Print: Photo Print 43</t>
        </is>
      </c>
      <c r="M8" s="38" t="inlineStr">
        <is>
          <t>https://cdn.shopify.com/s/files/1/0936/8656/3183/files/PXL_20250819_174809086.jpg?v=1761563377</t>
        </is>
      </c>
    </row>
    <row r="9" ht="15" customHeight="1" s="27">
      <c r="A9" s="26" t="inlineStr">
        <is>
          <t>BRAC_PP432</t>
        </is>
      </c>
      <c r="B9" s="26" t="inlineStr">
        <is>
          <t>bracelet</t>
        </is>
      </c>
      <c r="C9" s="26" t="inlineStr">
        <is>
          <t>Bracelet - Photo Print 432</t>
        </is>
      </c>
      <c r="D9" s="26" t="inlineStr">
        <is>
          <t>Photo Print ID: Photo Print 432</t>
        </is>
      </c>
      <c r="G9" s="35" t="n"/>
      <c r="H9" s="35" t="n"/>
      <c r="I9" s="35" t="n"/>
      <c r="J9" s="36">
        <f>IF(AND(G9&lt;&gt;"",I9&lt;&gt;""),G9-I9,"")</f>
        <v/>
      </c>
      <c r="K9" s="37">
        <f>IF(AND(G9&lt;&gt;"",G9&lt;&gt;0),J9/G9,"")</f>
        <v/>
      </c>
      <c r="L9" s="26" t="inlineStr">
        <is>
          <t>Photo Print: Photo Print 432</t>
        </is>
      </c>
      <c r="M9" s="38" t="inlineStr">
        <is>
          <t>https://cdn.shopify.com/s/files/1/0936/8656/3183/files/necklace6.jpg?v=1764260388</t>
        </is>
      </c>
    </row>
    <row r="10" ht="15" customHeight="1" s="27">
      <c r="A10" s="26" t="inlineStr">
        <is>
          <t>BRAC_PP45</t>
        </is>
      </c>
      <c r="B10" s="26" t="inlineStr">
        <is>
          <t>bracelet</t>
        </is>
      </c>
      <c r="C10" s="26" t="inlineStr">
        <is>
          <t>Bracelet - Photo Print 45</t>
        </is>
      </c>
      <c r="D10" s="26" t="inlineStr">
        <is>
          <t>Photo Print ID: Photo Print 45</t>
        </is>
      </c>
      <c r="G10" s="35" t="n"/>
      <c r="H10" s="35" t="n"/>
      <c r="I10" s="35" t="n"/>
      <c r="J10" s="36">
        <f>IF(AND(G10&lt;&gt;"",I10&lt;&gt;""),G10-I10,"")</f>
        <v/>
      </c>
      <c r="K10" s="37">
        <f>IF(AND(G10&lt;&gt;"",G10&lt;&gt;0),J10/G10,"")</f>
        <v/>
      </c>
      <c r="L10" s="26" t="inlineStr">
        <is>
          <t>Photo Print: Photo Print 45</t>
        </is>
      </c>
      <c r="M10" s="38" t="inlineStr">
        <is>
          <t>https://cdn.shopify.com/s/files/1/0936/8656/3183/files/PXL_20250819_193925175.jpg?v=1761563377</t>
        </is>
      </c>
    </row>
    <row r="11" ht="15" customHeight="1" s="27">
      <c r="A11" s="26" t="inlineStr">
        <is>
          <t>BRAC_PP46</t>
        </is>
      </c>
      <c r="B11" s="26" t="inlineStr">
        <is>
          <t>bracelet</t>
        </is>
      </c>
      <c r="C11" s="26" t="inlineStr">
        <is>
          <t>Bracelet - Photo Print 46</t>
        </is>
      </c>
      <c r="D11" s="26" t="inlineStr">
        <is>
          <t>Photo Print ID: Photo Print 46</t>
        </is>
      </c>
      <c r="G11" s="35" t="n"/>
      <c r="H11" s="35" t="n"/>
      <c r="I11" s="35" t="n"/>
      <c r="J11" s="36">
        <f>IF(AND(G11&lt;&gt;"",I11&lt;&gt;""),G11-I11,"")</f>
        <v/>
      </c>
      <c r="K11" s="37">
        <f>IF(AND(G11&lt;&gt;"",G11&lt;&gt;0),J11/G11,"")</f>
        <v/>
      </c>
      <c r="L11" s="26" t="inlineStr">
        <is>
          <t>Photo Print: Photo Print 46</t>
        </is>
      </c>
      <c r="M11" s="38" t="inlineStr">
        <is>
          <t>https://cdn.shopify.com/s/files/1/0936/8656/3183/files/PXL_20250819_174217542.jpg?v=1761563377</t>
        </is>
      </c>
    </row>
    <row r="12" ht="15" customHeight="1" s="27">
      <c r="A12" s="26" t="inlineStr">
        <is>
          <t>BRAC_PP47</t>
        </is>
      </c>
      <c r="B12" s="26" t="inlineStr">
        <is>
          <t>bracelet</t>
        </is>
      </c>
      <c r="C12" s="26" t="inlineStr">
        <is>
          <t>Bracelet - Photo Print 47</t>
        </is>
      </c>
      <c r="D12" s="26" t="inlineStr">
        <is>
          <t>Photo Print ID: Photo Print 47</t>
        </is>
      </c>
      <c r="G12" s="35" t="n"/>
      <c r="H12" s="35" t="n"/>
      <c r="I12" s="35" t="n"/>
      <c r="J12" s="36">
        <f>IF(AND(G12&lt;&gt;"",I12&lt;&gt;""),G12-I12,"")</f>
        <v/>
      </c>
      <c r="K12" s="37">
        <f>IF(AND(G12&lt;&gt;"",G12&lt;&gt;0),J12/G12,"")</f>
        <v/>
      </c>
      <c r="L12" s="26" t="inlineStr">
        <is>
          <t>Photo Print: Photo Print 47</t>
        </is>
      </c>
      <c r="M12" s="38" t="inlineStr">
        <is>
          <t>https://cdn.shopify.com/s/files/1/0936/8656/3183/files/PXL_20250819_194112806.jpg?v=1761563377</t>
        </is>
      </c>
    </row>
    <row r="13" ht="15" customHeight="1" s="27">
      <c r="A13" s="26" t="inlineStr">
        <is>
          <t>BRAC_PP48</t>
        </is>
      </c>
      <c r="B13" s="26" t="inlineStr">
        <is>
          <t>bracelet</t>
        </is>
      </c>
      <c r="C13" s="26" t="inlineStr">
        <is>
          <t>Bracelet - Photo Print 48</t>
        </is>
      </c>
      <c r="D13" s="26" t="inlineStr">
        <is>
          <t>Photo Print ID: Photo Print 48</t>
        </is>
      </c>
      <c r="G13" s="35" t="n"/>
      <c r="H13" s="35" t="n"/>
      <c r="I13" s="35" t="n"/>
      <c r="J13" s="36">
        <f>IF(AND(G13&lt;&gt;"",I13&lt;&gt;""),G13-I13,"")</f>
        <v/>
      </c>
      <c r="K13" s="37">
        <f>IF(AND(G13&lt;&gt;"",G13&lt;&gt;0),J13/G13,"")</f>
        <v/>
      </c>
      <c r="L13" s="26" t="inlineStr">
        <is>
          <t>Photo Print: Photo Print 48</t>
        </is>
      </c>
      <c r="M13" s="38" t="inlineStr">
        <is>
          <t>https://cdn.shopify.com/s/files/1/0936/8656/3183/files/PXL_20250819_175142414.jpg?v=1761563377</t>
        </is>
      </c>
    </row>
    <row r="14" ht="15" customHeight="1" s="27">
      <c r="A14" s="26" t="inlineStr">
        <is>
          <t>BRAC_PP49</t>
        </is>
      </c>
      <c r="B14" s="26" t="inlineStr">
        <is>
          <t>bracelet</t>
        </is>
      </c>
      <c r="C14" s="26" t="inlineStr">
        <is>
          <t>Bracelet - Photo Print 49</t>
        </is>
      </c>
      <c r="D14" s="26" t="inlineStr">
        <is>
          <t>Photo Print ID: Photo Print 49</t>
        </is>
      </c>
      <c r="G14" s="35" t="n"/>
      <c r="H14" s="35" t="n"/>
      <c r="I14" s="35" t="n"/>
      <c r="J14" s="36">
        <f>IF(AND(G14&lt;&gt;"",I14&lt;&gt;""),G14-I14,"")</f>
        <v/>
      </c>
      <c r="K14" s="37">
        <f>IF(AND(G14&lt;&gt;"",G14&lt;&gt;0),J14/G14,"")</f>
        <v/>
      </c>
      <c r="L14" s="26" t="inlineStr">
        <is>
          <t>Photo Print: Photo Print 49</t>
        </is>
      </c>
      <c r="M14" s="38" t="inlineStr">
        <is>
          <t>https://cdn.shopify.com/s/files/1/0936/8656/3183/files/PXL_20250819_175715094.jpg?v=1761563377</t>
        </is>
      </c>
    </row>
    <row r="15" ht="15" customHeight="1" s="27">
      <c r="A15" s="26" t="inlineStr">
        <is>
          <t>BRAC_PP5</t>
        </is>
      </c>
      <c r="B15" s="26" t="inlineStr">
        <is>
          <t>bracelet</t>
        </is>
      </c>
      <c r="C15" s="26" t="inlineStr">
        <is>
          <t>Bracelet - Photo Print 5</t>
        </is>
      </c>
      <c r="D15" s="26" t="inlineStr">
        <is>
          <t>Photo Print ID: Photo Print 5</t>
        </is>
      </c>
      <c r="G15" s="35" t="n"/>
      <c r="H15" s="35" t="n"/>
      <c r="I15" s="35" t="n"/>
      <c r="J15" s="36">
        <f>IF(AND(G15&lt;&gt;"",I15&lt;&gt;""),G15-I15,"")</f>
        <v/>
      </c>
      <c r="K15" s="37">
        <f>IF(AND(G15&lt;&gt;"",G15&lt;&gt;0),J15/G15,"")</f>
        <v/>
      </c>
      <c r="L15" s="26" t="inlineStr">
        <is>
          <t>Photo Print: Photo Print 5</t>
        </is>
      </c>
      <c r="M15" s="38" t="inlineStr">
        <is>
          <t>https://cdn.shopify.com/s/files/1/0936/8656/3183/files/PXL_20250819_193908769.jpg?v=1761563362</t>
        </is>
      </c>
    </row>
    <row r="16" ht="15" customHeight="1" s="27">
      <c r="A16" s="26" t="inlineStr">
        <is>
          <t>BRAC_PP50</t>
        </is>
      </c>
      <c r="B16" s="26" t="inlineStr">
        <is>
          <t>bracelet</t>
        </is>
      </c>
      <c r="C16" s="26" t="inlineStr">
        <is>
          <t>Bracelet - Photo Print 50</t>
        </is>
      </c>
      <c r="D16" s="26" t="inlineStr">
        <is>
          <t>Photo Print ID: Photo Print 50</t>
        </is>
      </c>
      <c r="G16" s="35" t="n"/>
      <c r="H16" s="35" t="n"/>
      <c r="I16" s="35" t="n"/>
      <c r="J16" s="36">
        <f>IF(AND(G16&lt;&gt;"",I16&lt;&gt;""),G16-I16,"")</f>
        <v/>
      </c>
      <c r="K16" s="37">
        <f>IF(AND(G16&lt;&gt;"",G16&lt;&gt;0),J16/G16,"")</f>
        <v/>
      </c>
      <c r="L16" s="26" t="inlineStr">
        <is>
          <t>Photo Print: Photo Print 50</t>
        </is>
      </c>
      <c r="M16" s="38" t="inlineStr">
        <is>
          <t>https://cdn.shopify.com/s/files/1/0936/8656/3183/files/PXL_20250819_180125037.jpg?v=1761563377</t>
        </is>
      </c>
    </row>
    <row r="17" ht="15" customHeight="1" s="27">
      <c r="A17" s="26" t="inlineStr">
        <is>
          <t>BRAC_PP51</t>
        </is>
      </c>
      <c r="B17" s="26" t="inlineStr">
        <is>
          <t>bracelet</t>
        </is>
      </c>
      <c r="C17" s="26" t="inlineStr">
        <is>
          <t>Bracelet - Photo Print 51</t>
        </is>
      </c>
      <c r="D17" s="26" t="inlineStr">
        <is>
          <t>Photo Print ID: Photo Print 51</t>
        </is>
      </c>
      <c r="G17" s="35" t="n"/>
      <c r="H17" s="35" t="n"/>
      <c r="I17" s="35" t="n"/>
      <c r="J17" s="36">
        <f>IF(AND(G17&lt;&gt;"",I17&lt;&gt;""),G17-I17,"")</f>
        <v/>
      </c>
      <c r="K17" s="37">
        <f>IF(AND(G17&lt;&gt;"",G17&lt;&gt;0),J17/G17,"")</f>
        <v/>
      </c>
      <c r="L17" s="26" t="inlineStr">
        <is>
          <t>Photo Print: Photo Print 51</t>
        </is>
      </c>
      <c r="M17" s="38" t="inlineStr">
        <is>
          <t>https://cdn.shopify.com/s/files/1/0936/8656/3183/files/PXL_20250819_193744681.jpg?v=1761563378</t>
        </is>
      </c>
    </row>
    <row r="18" ht="15" customHeight="1" s="27">
      <c r="A18" s="26" t="inlineStr">
        <is>
          <t>BRAC_PP52</t>
        </is>
      </c>
      <c r="B18" s="26" t="inlineStr">
        <is>
          <t>bracelet</t>
        </is>
      </c>
      <c r="C18" s="26" t="inlineStr">
        <is>
          <t>Bracelet - Photo Print 52</t>
        </is>
      </c>
      <c r="D18" s="26" t="inlineStr">
        <is>
          <t>Photo Print ID: Photo Print 52</t>
        </is>
      </c>
      <c r="G18" s="35" t="n"/>
      <c r="H18" s="35" t="n"/>
      <c r="I18" s="35" t="n"/>
      <c r="J18" s="36">
        <f>IF(AND(G18&lt;&gt;"",I18&lt;&gt;""),G18-I18,"")</f>
        <v/>
      </c>
      <c r="K18" s="37">
        <f>IF(AND(G18&lt;&gt;"",G18&lt;&gt;0),J18/G18,"")</f>
        <v/>
      </c>
      <c r="L18" s="26" t="inlineStr">
        <is>
          <t>Photo Print: Photo Print 52</t>
        </is>
      </c>
      <c r="M18" s="38" t="inlineStr">
        <is>
          <t>https://cdn.shopify.com/s/files/1/0936/8656/3183/files/PXL_20250819_193859192.jpg?v=1761563377</t>
        </is>
      </c>
    </row>
    <row r="19" ht="15" customHeight="1" s="27">
      <c r="A19" s="26" t="inlineStr">
        <is>
          <t>BRAC_PP53</t>
        </is>
      </c>
      <c r="B19" s="26" t="inlineStr">
        <is>
          <t>bracelet</t>
        </is>
      </c>
      <c r="C19" s="26" t="inlineStr">
        <is>
          <t>Bracelet - Photo Print 53</t>
        </is>
      </c>
      <c r="D19" s="26" t="inlineStr">
        <is>
          <t>Photo Print ID: Photo Print 53</t>
        </is>
      </c>
      <c r="G19" s="35" t="n"/>
      <c r="H19" s="35" t="n"/>
      <c r="I19" s="35" t="n"/>
      <c r="J19" s="36">
        <f>IF(AND(G19&lt;&gt;"",I19&lt;&gt;""),G19-I19,"")</f>
        <v/>
      </c>
      <c r="K19" s="37">
        <f>IF(AND(G19&lt;&gt;"",G19&lt;&gt;0),J19/G19,"")</f>
        <v/>
      </c>
      <c r="L19" s="26" t="inlineStr">
        <is>
          <t>Photo Print: Photo Print 53</t>
        </is>
      </c>
      <c r="M19" s="38" t="inlineStr">
        <is>
          <t>https://cdn.shopify.com/s/files/1/0936/8656/3183/files/PXL_20250819_174902236.jpg?v=1761563378</t>
        </is>
      </c>
    </row>
    <row r="20" ht="15" customHeight="1" s="27">
      <c r="A20" s="26" t="inlineStr">
        <is>
          <t>BRAC_PP55</t>
        </is>
      </c>
      <c r="B20" s="26" t="inlineStr">
        <is>
          <t>bracelet</t>
        </is>
      </c>
      <c r="C20" s="26" t="inlineStr">
        <is>
          <t>Bracelet - Photo Print 55</t>
        </is>
      </c>
      <c r="D20" s="26" t="inlineStr">
        <is>
          <t>Photo Print ID: Photo Print 55</t>
        </is>
      </c>
      <c r="G20" s="35" t="n"/>
      <c r="H20" s="35" t="n"/>
      <c r="I20" s="35" t="n"/>
      <c r="J20" s="36">
        <f>IF(AND(G20&lt;&gt;"",I20&lt;&gt;""),G20-I20,"")</f>
        <v/>
      </c>
      <c r="K20" s="37">
        <f>IF(AND(G20&lt;&gt;"",G20&lt;&gt;0),J20/G20,"")</f>
        <v/>
      </c>
      <c r="L20" s="26" t="inlineStr">
        <is>
          <t>Photo Print: Photo Print 55</t>
        </is>
      </c>
      <c r="M20" s="38" t="inlineStr">
        <is>
          <t>https://cdn.shopify.com/s/files/1/0936/8656/3183/files/PXL_20250819_175801774.jpg?v=1761563379</t>
        </is>
      </c>
    </row>
    <row r="21" ht="15" customHeight="1" s="27">
      <c r="A21" s="26" t="inlineStr">
        <is>
          <t>BRAC_PP56</t>
        </is>
      </c>
      <c r="B21" s="26" t="inlineStr">
        <is>
          <t>bracelet</t>
        </is>
      </c>
      <c r="C21" s="26" t="inlineStr">
        <is>
          <t>Bracelet - Photo Print 56</t>
        </is>
      </c>
      <c r="D21" s="26" t="inlineStr">
        <is>
          <t>Photo Print ID: Photo Print 56</t>
        </is>
      </c>
      <c r="G21" s="35" t="n"/>
      <c r="H21" s="35" t="n"/>
      <c r="I21" s="35" t="n"/>
      <c r="J21" s="36">
        <f>IF(AND(G21&lt;&gt;"",I21&lt;&gt;""),G21-I21,"")</f>
        <v/>
      </c>
      <c r="K21" s="37">
        <f>IF(AND(G21&lt;&gt;"",G21&lt;&gt;0),J21/G21,"")</f>
        <v/>
      </c>
      <c r="L21" s="26" t="inlineStr">
        <is>
          <t>Photo Print: Photo Print 56</t>
        </is>
      </c>
      <c r="M21" s="38" t="inlineStr">
        <is>
          <t>https://cdn.shopify.com/s/files/1/0936/8656/3183/files/PXL_20250817_194852243.jpg?v=1761563378</t>
        </is>
      </c>
    </row>
    <row r="22" ht="15" customHeight="1" s="27">
      <c r="A22" s="26" t="inlineStr">
        <is>
          <t>BRAC_PP57</t>
        </is>
      </c>
      <c r="B22" s="26" t="inlineStr">
        <is>
          <t>bracelet</t>
        </is>
      </c>
      <c r="C22" s="26" t="inlineStr">
        <is>
          <t>Bracelet - Photo Print 57</t>
        </is>
      </c>
      <c r="D22" s="26" t="inlineStr">
        <is>
          <t>Photo Print ID: Photo Print 57</t>
        </is>
      </c>
      <c r="G22" s="35" t="n"/>
      <c r="H22" s="35" t="n"/>
      <c r="I22" s="35" t="n"/>
      <c r="J22" s="36">
        <f>IF(AND(G22&lt;&gt;"",I22&lt;&gt;""),G22-I22,"")</f>
        <v/>
      </c>
      <c r="K22" s="37">
        <f>IF(AND(G22&lt;&gt;"",G22&lt;&gt;0),J22/G22,"")</f>
        <v/>
      </c>
      <c r="L22" s="26" t="inlineStr">
        <is>
          <t>Photo Print: Photo Print 57</t>
        </is>
      </c>
      <c r="M22" s="38" t="inlineStr">
        <is>
          <t>https://cdn.shopify.com/s/files/1/0936/8656/3183/files/PXL_20250819_194141363.jpg?v=1761563378</t>
        </is>
      </c>
    </row>
    <row r="23" ht="15" customHeight="1" s="27">
      <c r="A23" s="26" t="inlineStr">
        <is>
          <t>BRAC_PP58</t>
        </is>
      </c>
      <c r="B23" s="26" t="inlineStr">
        <is>
          <t>bracelet</t>
        </is>
      </c>
      <c r="C23" s="26" t="inlineStr">
        <is>
          <t>Bracelet - Photo Print 58</t>
        </is>
      </c>
      <c r="D23" s="26" t="inlineStr">
        <is>
          <t>Photo Print ID: Photo Print 58</t>
        </is>
      </c>
      <c r="G23" s="35" t="n"/>
      <c r="H23" s="35" t="n"/>
      <c r="I23" s="35" t="n"/>
      <c r="J23" s="36">
        <f>IF(AND(G23&lt;&gt;"",I23&lt;&gt;""),G23-I23,"")</f>
        <v/>
      </c>
      <c r="K23" s="37">
        <f>IF(AND(G23&lt;&gt;"",G23&lt;&gt;0),J23/G23,"")</f>
        <v/>
      </c>
      <c r="L23" s="26" t="inlineStr">
        <is>
          <t>Photo Print: Photo Print 58</t>
        </is>
      </c>
      <c r="M23" s="38" t="inlineStr">
        <is>
          <t>https://cdn.shopify.com/s/files/1/0936/8656/3183/files/PXL_20250819_174127696.jpg?v=1761563378</t>
        </is>
      </c>
    </row>
    <row r="24" ht="15" customHeight="1" s="27">
      <c r="A24" s="26" t="inlineStr">
        <is>
          <t>BRAC_PP59</t>
        </is>
      </c>
      <c r="B24" s="26" t="inlineStr">
        <is>
          <t>bracelet</t>
        </is>
      </c>
      <c r="C24" s="26" t="inlineStr">
        <is>
          <t>Bracelet - Photo Print 59</t>
        </is>
      </c>
      <c r="D24" s="26" t="inlineStr">
        <is>
          <t>Photo Print ID: Photo Print 59</t>
        </is>
      </c>
      <c r="G24" s="35" t="n"/>
      <c r="H24" s="35" t="n"/>
      <c r="I24" s="35" t="n"/>
      <c r="J24" s="36">
        <f>IF(AND(G24&lt;&gt;"",I24&lt;&gt;""),G24-I24,"")</f>
        <v/>
      </c>
      <c r="K24" s="37">
        <f>IF(AND(G24&lt;&gt;"",G24&lt;&gt;0),J24/G24,"")</f>
        <v/>
      </c>
      <c r="L24" s="26" t="inlineStr">
        <is>
          <t>Photo Print: Photo Print 59</t>
        </is>
      </c>
      <c r="M24" s="38" t="inlineStr">
        <is>
          <t>https://cdn.shopify.com/s/files/1/0936/8656/3183/files/PXL_20250819_174711261.jpg?v=1761563379</t>
        </is>
      </c>
    </row>
    <row r="25" ht="15" customHeight="1" s="27">
      <c r="A25" s="26" t="inlineStr">
        <is>
          <t>BRAC_PP6</t>
        </is>
      </c>
      <c r="B25" s="26" t="inlineStr">
        <is>
          <t>bracelet</t>
        </is>
      </c>
      <c r="C25" s="26" t="inlineStr">
        <is>
          <t>Bracelet - Photo Print 6</t>
        </is>
      </c>
      <c r="D25" s="26" t="inlineStr">
        <is>
          <t>Photo Print ID: Photo Print 6</t>
        </is>
      </c>
      <c r="G25" s="35" t="n"/>
      <c r="H25" s="35" t="n"/>
      <c r="I25" s="35" t="n"/>
      <c r="J25" s="36">
        <f>IF(AND(G25&lt;&gt;"",I25&lt;&gt;""),G25-I25,"")</f>
        <v/>
      </c>
      <c r="K25" s="37">
        <f>IF(AND(G25&lt;&gt;"",G25&lt;&gt;0),J25/G25,"")</f>
        <v/>
      </c>
      <c r="L25" s="26" t="inlineStr">
        <is>
          <t>Photo Print: Photo Print 6</t>
        </is>
      </c>
      <c r="M25" s="38" t="inlineStr">
        <is>
          <t>https://cdn.shopify.com/s/files/1/0936/8656/3183/files/PXL_20250819_173915170.jpg?v=1761563363</t>
        </is>
      </c>
    </row>
    <row r="26" ht="15" customHeight="1" s="27">
      <c r="A26" s="26" t="inlineStr">
        <is>
          <t>BRAC_PP60</t>
        </is>
      </c>
      <c r="B26" s="26" t="inlineStr">
        <is>
          <t>bracelet</t>
        </is>
      </c>
      <c r="C26" s="26" t="inlineStr">
        <is>
          <t>Bracelet - Photo Print 60</t>
        </is>
      </c>
      <c r="D26" s="26" t="inlineStr">
        <is>
          <t>Photo Print ID: Photo Print 60</t>
        </is>
      </c>
      <c r="G26" s="35" t="n"/>
      <c r="H26" s="35" t="n"/>
      <c r="I26" s="35" t="n"/>
      <c r="J26" s="36">
        <f>IF(AND(G26&lt;&gt;"",I26&lt;&gt;""),G26-I26,"")</f>
        <v/>
      </c>
      <c r="K26" s="37">
        <f>IF(AND(G26&lt;&gt;"",G26&lt;&gt;0),J26/G26,"")</f>
        <v/>
      </c>
      <c r="L26" s="26" t="inlineStr">
        <is>
          <t>Photo Print: Photo Print 60</t>
        </is>
      </c>
      <c r="M26" s="38" t="inlineStr">
        <is>
          <t>https://cdn.shopify.com/s/files/1/0936/8656/3183/files/PXL_20250819_175708998.jpg?v=1761563378</t>
        </is>
      </c>
    </row>
    <row r="27" ht="15" customHeight="1" s="27">
      <c r="A27" s="26" t="inlineStr">
        <is>
          <t>BRAC_PP61</t>
        </is>
      </c>
      <c r="B27" s="26" t="inlineStr">
        <is>
          <t>bracelet</t>
        </is>
      </c>
      <c r="C27" s="26" t="inlineStr">
        <is>
          <t>Bracelet - Photo Print 61</t>
        </is>
      </c>
      <c r="D27" s="26" t="inlineStr">
        <is>
          <t>Photo Print ID: Photo Print 61</t>
        </is>
      </c>
      <c r="G27" s="35" t="n"/>
      <c r="H27" s="35" t="n"/>
      <c r="I27" s="35" t="n"/>
      <c r="J27" s="36">
        <f>IF(AND(G27&lt;&gt;"",I27&lt;&gt;""),G27-I27,"")</f>
        <v/>
      </c>
      <c r="K27" s="37">
        <f>IF(AND(G27&lt;&gt;"",G27&lt;&gt;0),J27/G27,"")</f>
        <v/>
      </c>
      <c r="L27" s="26" t="inlineStr">
        <is>
          <t>Photo Print: Photo Print 61</t>
        </is>
      </c>
      <c r="M27" s="38" t="inlineStr">
        <is>
          <t>https://cdn.shopify.com/s/files/1/0936/8656/3183/files/PXL_20250819_193751317.jpg?v=1761563379</t>
        </is>
      </c>
    </row>
    <row r="28" ht="15" customHeight="1" s="27">
      <c r="A28" s="26" t="inlineStr">
        <is>
          <t>BRAC_PP62</t>
        </is>
      </c>
      <c r="B28" s="26" t="inlineStr">
        <is>
          <t>bracelet</t>
        </is>
      </c>
      <c r="C28" s="26" t="inlineStr">
        <is>
          <t>Bracelet - Photo Print 62</t>
        </is>
      </c>
      <c r="D28" s="26" t="inlineStr">
        <is>
          <t>Photo Print ID: Photo Print 62</t>
        </is>
      </c>
      <c r="G28" s="35" t="n"/>
      <c r="H28" s="35" t="n"/>
      <c r="I28" s="35" t="n"/>
      <c r="J28" s="36">
        <f>IF(AND(G28&lt;&gt;"",I28&lt;&gt;""),G28-I28,"")</f>
        <v/>
      </c>
      <c r="K28" s="37">
        <f>IF(AND(G28&lt;&gt;"",G28&lt;&gt;0),J28/G28,"")</f>
        <v/>
      </c>
      <c r="L28" s="26" t="inlineStr">
        <is>
          <t>Photo Print: Photo Print 62</t>
        </is>
      </c>
      <c r="M28" s="38" t="inlineStr">
        <is>
          <t>https://cdn.shopify.com/s/files/1/0936/8656/3183/files/PXL_20250819_193810612.jpg?v=1761563378</t>
        </is>
      </c>
    </row>
    <row r="29" ht="15" customHeight="1" s="27">
      <c r="A29" s="26" t="inlineStr">
        <is>
          <t>BRAC_PP63</t>
        </is>
      </c>
      <c r="B29" s="26" t="inlineStr">
        <is>
          <t>bracelet</t>
        </is>
      </c>
      <c r="C29" s="26" t="inlineStr">
        <is>
          <t>Bracelet - Photo Print 63</t>
        </is>
      </c>
      <c r="D29" s="26" t="inlineStr">
        <is>
          <t>Photo Print ID: Photo Print 63</t>
        </is>
      </c>
      <c r="G29" s="35" t="n"/>
      <c r="H29" s="35" t="n"/>
      <c r="I29" s="35" t="n"/>
      <c r="J29" s="36">
        <f>IF(AND(G29&lt;&gt;"",I29&lt;&gt;""),G29-I29,"")</f>
        <v/>
      </c>
      <c r="K29" s="37">
        <f>IF(AND(G29&lt;&gt;"",G29&lt;&gt;0),J29/G29,"")</f>
        <v/>
      </c>
      <c r="L29" s="26" t="inlineStr">
        <is>
          <t>Photo Print: Photo Print 63</t>
        </is>
      </c>
      <c r="M29" s="38" t="inlineStr">
        <is>
          <t>https://cdn.shopify.com/s/files/1/0936/8656/3183/files/PXL_20250819_174850056.jpg?v=1761563379</t>
        </is>
      </c>
    </row>
    <row r="30" ht="15" customHeight="1" s="27">
      <c r="A30" s="26" t="inlineStr">
        <is>
          <t>BRAC_PP64</t>
        </is>
      </c>
      <c r="B30" s="26" t="inlineStr">
        <is>
          <t>bracelet</t>
        </is>
      </c>
      <c r="C30" s="26" t="inlineStr">
        <is>
          <t>Bracelet - Photo Print 64</t>
        </is>
      </c>
      <c r="D30" s="26" t="inlineStr">
        <is>
          <t>Photo Print ID: Photo Print 64</t>
        </is>
      </c>
      <c r="G30" s="35" t="n"/>
      <c r="H30" s="35" t="n"/>
      <c r="I30" s="35" t="n"/>
      <c r="J30" s="36">
        <f>IF(AND(G30&lt;&gt;"",I30&lt;&gt;""),G30-I30,"")</f>
        <v/>
      </c>
      <c r="K30" s="37">
        <f>IF(AND(G30&lt;&gt;"",G30&lt;&gt;0),J30/G30,"")</f>
        <v/>
      </c>
      <c r="L30" s="26" t="inlineStr">
        <is>
          <t>Photo Print: Photo Print 64</t>
        </is>
      </c>
      <c r="M30" s="38" t="inlineStr">
        <is>
          <t>https://cdn.shopify.com/s/files/1/0936/8656/3183/files/PXL_20250819_175357425.jpg?v=1761563379</t>
        </is>
      </c>
    </row>
    <row r="31" ht="15" customHeight="1" s="27">
      <c r="A31" s="26" t="inlineStr">
        <is>
          <t>BRAC_PP65</t>
        </is>
      </c>
      <c r="B31" s="26" t="inlineStr">
        <is>
          <t>bracelet</t>
        </is>
      </c>
      <c r="C31" s="26" t="inlineStr">
        <is>
          <t>Bracelet - Photo Print 65</t>
        </is>
      </c>
      <c r="D31" s="26" t="inlineStr">
        <is>
          <t>Photo Print ID: Photo Print 65</t>
        </is>
      </c>
      <c r="G31" s="35" t="n"/>
      <c r="H31" s="35" t="n"/>
      <c r="I31" s="35" t="n"/>
      <c r="J31" s="36">
        <f>IF(AND(G31&lt;&gt;"",I31&lt;&gt;""),G31-I31,"")</f>
        <v/>
      </c>
      <c r="K31" s="37">
        <f>IF(AND(G31&lt;&gt;"",G31&lt;&gt;0),J31/G31,"")</f>
        <v/>
      </c>
      <c r="L31" s="26" t="inlineStr">
        <is>
          <t>Photo Print: Photo Print 65</t>
        </is>
      </c>
      <c r="M31" s="38" t="inlineStr">
        <is>
          <t>https://cdn.shopify.com/s/files/1/0936/8656/3183/files/PXL_20250819_193845477.jpg?v=1761563378</t>
        </is>
      </c>
    </row>
    <row r="32" ht="15" customHeight="1" s="27">
      <c r="A32" s="26" t="inlineStr">
        <is>
          <t>BRAC_PP66</t>
        </is>
      </c>
      <c r="B32" s="26" t="inlineStr">
        <is>
          <t>bracelet</t>
        </is>
      </c>
      <c r="C32" s="26" t="inlineStr">
        <is>
          <t>Bracelet - Photo Print 66</t>
        </is>
      </c>
      <c r="D32" s="26" t="inlineStr">
        <is>
          <t>Photo Print ID: Photo Print 66</t>
        </is>
      </c>
      <c r="G32" s="35" t="n"/>
      <c r="H32" s="35" t="n"/>
      <c r="I32" s="35" t="n"/>
      <c r="J32" s="36">
        <f>IF(AND(G32&lt;&gt;"",I32&lt;&gt;""),G32-I32,"")</f>
        <v/>
      </c>
      <c r="K32" s="37">
        <f>IF(AND(G32&lt;&gt;"",G32&lt;&gt;0),J32/G32,"")</f>
        <v/>
      </c>
      <c r="L32" s="26" t="inlineStr">
        <is>
          <t>Photo Print: Photo Print 66</t>
        </is>
      </c>
      <c r="M32" s="38" t="inlineStr">
        <is>
          <t>https://cdn.shopify.com/s/files/1/0936/8656/3183/files/PXL_20250819_180139182.jpg?v=1761563379</t>
        </is>
      </c>
    </row>
    <row r="33" ht="15" customHeight="1" s="27">
      <c r="A33" s="26" t="inlineStr">
        <is>
          <t>BRAC_PP67</t>
        </is>
      </c>
      <c r="B33" s="26" t="inlineStr">
        <is>
          <t>bracelet</t>
        </is>
      </c>
      <c r="C33" s="26" t="inlineStr">
        <is>
          <t>Bracelet - Photo Print 67</t>
        </is>
      </c>
      <c r="D33" s="26" t="inlineStr">
        <is>
          <t>Photo Print ID: Photo Print 67</t>
        </is>
      </c>
      <c r="G33" s="35" t="n"/>
      <c r="H33" s="35" t="n"/>
      <c r="I33" s="35" t="n"/>
      <c r="J33" s="36">
        <f>IF(AND(G33&lt;&gt;"",I33&lt;&gt;""),G33-I33,"")</f>
        <v/>
      </c>
      <c r="K33" s="37">
        <f>IF(AND(G33&lt;&gt;"",G33&lt;&gt;0),J33/G33,"")</f>
        <v/>
      </c>
      <c r="L33" s="26" t="inlineStr">
        <is>
          <t>Photo Print: Photo Print 67</t>
        </is>
      </c>
      <c r="M33" s="38" t="inlineStr">
        <is>
          <t>https://cdn.shopify.com/s/files/1/0936/8656/3183/files/PXL_20250817_103609251.jpg?v=1761563379</t>
        </is>
      </c>
    </row>
    <row r="34" ht="15" customHeight="1" s="27">
      <c r="A34" s="26" t="inlineStr">
        <is>
          <t>BRAC_PP68</t>
        </is>
      </c>
      <c r="B34" s="26" t="inlineStr">
        <is>
          <t>bracelet</t>
        </is>
      </c>
      <c r="C34" s="26" t="inlineStr">
        <is>
          <t>Bracelet - Photo Print 68</t>
        </is>
      </c>
      <c r="D34" s="26" t="inlineStr">
        <is>
          <t>Photo Print ID: Photo Print 68</t>
        </is>
      </c>
      <c r="G34" s="35" t="n"/>
      <c r="H34" s="35" t="n"/>
      <c r="I34" s="35" t="n"/>
      <c r="J34" s="36">
        <f>IF(AND(G34&lt;&gt;"",I34&lt;&gt;""),G34-I34,"")</f>
        <v/>
      </c>
      <c r="K34" s="37">
        <f>IF(AND(G34&lt;&gt;"",G34&lt;&gt;0),J34/G34,"")</f>
        <v/>
      </c>
      <c r="L34" s="26" t="inlineStr">
        <is>
          <t>Photo Print: Photo Print 68</t>
        </is>
      </c>
      <c r="M34" s="38" t="inlineStr">
        <is>
          <t>https://cdn.shopify.com/s/files/1/0936/8656/3183/files/PXL_20250819_174514656.jpg?v=1761563379</t>
        </is>
      </c>
    </row>
    <row r="35" ht="15" customHeight="1" s="27">
      <c r="A35" s="26" t="inlineStr">
        <is>
          <t>BRAC_PP69</t>
        </is>
      </c>
      <c r="B35" s="26" t="inlineStr">
        <is>
          <t>bracelet</t>
        </is>
      </c>
      <c r="C35" s="26" t="inlineStr">
        <is>
          <t>Bracelet - Photo Print 69</t>
        </is>
      </c>
      <c r="D35" s="26" t="inlineStr">
        <is>
          <t>Photo Print ID: Photo Print 69</t>
        </is>
      </c>
      <c r="G35" s="35" t="n"/>
      <c r="H35" s="35" t="n"/>
      <c r="I35" s="35" t="n"/>
      <c r="J35" s="36">
        <f>IF(AND(G35&lt;&gt;"",I35&lt;&gt;""),G35-I35,"")</f>
        <v/>
      </c>
      <c r="K35" s="37">
        <f>IF(AND(G35&lt;&gt;"",G35&lt;&gt;0),J35/G35,"")</f>
        <v/>
      </c>
      <c r="L35" s="26" t="inlineStr">
        <is>
          <t>Photo Print: Photo Print 69</t>
        </is>
      </c>
      <c r="M35" s="38" t="inlineStr">
        <is>
          <t>https://cdn.shopify.com/s/files/1/0936/8656/3183/files/PXL_20250819_174140489.jpg?v=1761563379</t>
        </is>
      </c>
    </row>
    <row r="36" ht="15" customHeight="1" s="27">
      <c r="A36" s="26" t="inlineStr">
        <is>
          <t>BRAC_PP7</t>
        </is>
      </c>
      <c r="B36" s="26" t="inlineStr">
        <is>
          <t>bracelet</t>
        </is>
      </c>
      <c r="C36" s="26" t="inlineStr">
        <is>
          <t>Bracelet - Photo Print 7</t>
        </is>
      </c>
      <c r="D36" s="26" t="inlineStr">
        <is>
          <t>Photo Print ID: Photo Print 7</t>
        </is>
      </c>
      <c r="G36" s="35" t="n"/>
      <c r="H36" s="35" t="n"/>
      <c r="I36" s="35" t="n"/>
      <c r="J36" s="36">
        <f>IF(AND(G36&lt;&gt;"",I36&lt;&gt;""),G36-I36,"")</f>
        <v/>
      </c>
      <c r="K36" s="37">
        <f>IF(AND(G36&lt;&gt;"",G36&lt;&gt;0),J36/G36,"")</f>
        <v/>
      </c>
      <c r="L36" s="26" t="inlineStr">
        <is>
          <t>Photo Print: Photo Print 7</t>
        </is>
      </c>
      <c r="M36" s="38" t="inlineStr">
        <is>
          <t>https://cdn.shopify.com/s/files/1/0936/8656/3183/files/PXL_20250819_174308561.jpg?v=1761563363</t>
        </is>
      </c>
    </row>
    <row r="37" ht="15" customHeight="1" s="27">
      <c r="A37" s="26" t="inlineStr">
        <is>
          <t>BRAC_PP70</t>
        </is>
      </c>
      <c r="B37" s="26" t="inlineStr">
        <is>
          <t>bracelet</t>
        </is>
      </c>
      <c r="C37" s="26" t="inlineStr">
        <is>
          <t>Bracelet - Photo Print 70</t>
        </is>
      </c>
      <c r="D37" s="26" t="inlineStr">
        <is>
          <t>Photo Print ID: Photo Print 70</t>
        </is>
      </c>
      <c r="G37" s="35" t="n"/>
      <c r="H37" s="35" t="n"/>
      <c r="I37" s="35" t="n"/>
      <c r="J37" s="36">
        <f>IF(AND(G37&lt;&gt;"",I37&lt;&gt;""),G37-I37,"")</f>
        <v/>
      </c>
      <c r="K37" s="37">
        <f>IF(AND(G37&lt;&gt;"",G37&lt;&gt;0),J37/G37,"")</f>
        <v/>
      </c>
      <c r="L37" s="26" t="inlineStr">
        <is>
          <t>Photo Print: Photo Print 70</t>
        </is>
      </c>
      <c r="M37" s="38" t="inlineStr">
        <is>
          <t>https://cdn.shopify.com/s/files/1/0936/8656/3183/files/PXL_20250819_174153799.jpg?v=1761563379</t>
        </is>
      </c>
    </row>
    <row r="38" ht="15" customHeight="1" s="27">
      <c r="A38" s="26" t="inlineStr">
        <is>
          <t>BRAC_PP71</t>
        </is>
      </c>
      <c r="B38" s="26" t="inlineStr">
        <is>
          <t>bracelet</t>
        </is>
      </c>
      <c r="C38" s="26" t="inlineStr">
        <is>
          <t>Bracelet - Photo Print 71</t>
        </is>
      </c>
      <c r="D38" s="26" t="inlineStr">
        <is>
          <t>Photo Print ID: Photo Print 71</t>
        </is>
      </c>
      <c r="G38" s="35" t="n"/>
      <c r="H38" s="35" t="n"/>
      <c r="I38" s="35" t="n"/>
      <c r="J38" s="36">
        <f>IF(AND(G38&lt;&gt;"",I38&lt;&gt;""),G38-I38,"")</f>
        <v/>
      </c>
      <c r="K38" s="37">
        <f>IF(AND(G38&lt;&gt;"",G38&lt;&gt;0),J38/G38,"")</f>
        <v/>
      </c>
      <c r="L38" s="26" t="inlineStr">
        <is>
          <t>Photo Print: Photo Print 71</t>
        </is>
      </c>
      <c r="M38" s="38" t="inlineStr">
        <is>
          <t>https://cdn.shopify.com/s/files/1/0936/8656/3183/files/PXL_20250819_174633379.jpg?v=1761563380</t>
        </is>
      </c>
    </row>
    <row r="39" ht="15" customHeight="1" s="27">
      <c r="A39" s="26" t="inlineStr">
        <is>
          <t>BRAC_PP72</t>
        </is>
      </c>
      <c r="B39" s="26" t="inlineStr">
        <is>
          <t>bracelet</t>
        </is>
      </c>
      <c r="C39" s="26" t="inlineStr">
        <is>
          <t>Bracelet - Photo Print 72</t>
        </is>
      </c>
      <c r="D39" s="26" t="inlineStr">
        <is>
          <t>Photo Print ID: Photo Print 72</t>
        </is>
      </c>
      <c r="G39" s="35" t="n"/>
      <c r="H39" s="35" t="n"/>
      <c r="I39" s="35" t="n"/>
      <c r="J39" s="36">
        <f>IF(AND(G39&lt;&gt;"",I39&lt;&gt;""),G39-I39,"")</f>
        <v/>
      </c>
      <c r="K39" s="37">
        <f>IF(AND(G39&lt;&gt;"",G39&lt;&gt;0),J39/G39,"")</f>
        <v/>
      </c>
      <c r="L39" s="26" t="inlineStr">
        <is>
          <t>Photo Print: Photo Print 72</t>
        </is>
      </c>
      <c r="M39" s="38" t="inlineStr">
        <is>
          <t>https://cdn.shopify.com/s/files/1/0936/8656/3183/files/PXL_20250819_175522351.jpg?v=1761563380</t>
        </is>
      </c>
    </row>
    <row r="40" ht="15" customHeight="1" s="27">
      <c r="A40" s="26" t="inlineStr">
        <is>
          <t>BRAC_PP73</t>
        </is>
      </c>
      <c r="B40" s="26" t="inlineStr">
        <is>
          <t>bracelet</t>
        </is>
      </c>
      <c r="C40" s="26" t="inlineStr">
        <is>
          <t>Bracelet - Photo Print 73</t>
        </is>
      </c>
      <c r="D40" s="26" t="inlineStr">
        <is>
          <t>Photo Print ID: Photo Print 73</t>
        </is>
      </c>
      <c r="G40" s="35" t="n"/>
      <c r="H40" s="35" t="n"/>
      <c r="I40" s="35" t="n"/>
      <c r="J40" s="36">
        <f>IF(AND(G40&lt;&gt;"",I40&lt;&gt;""),G40-I40,"")</f>
        <v/>
      </c>
      <c r="K40" s="37">
        <f>IF(AND(G40&lt;&gt;"",G40&lt;&gt;0),J40/G40,"")</f>
        <v/>
      </c>
      <c r="L40" s="26" t="inlineStr">
        <is>
          <t>Photo Print: Photo Print 73</t>
        </is>
      </c>
      <c r="M40" s="38" t="inlineStr">
        <is>
          <t>https://cdn.shopify.com/s/files/1/0936/8656/3183/files/PXL_20250819_174056953.jpg?v=1764438779</t>
        </is>
      </c>
    </row>
    <row r="41" ht="15" customHeight="1" s="27">
      <c r="A41" s="26" t="inlineStr">
        <is>
          <t>BRAC_PP74</t>
        </is>
      </c>
      <c r="B41" s="26" t="inlineStr">
        <is>
          <t>bracelet</t>
        </is>
      </c>
      <c r="C41" s="26" t="inlineStr">
        <is>
          <t>Bracelet - Photo Print 74</t>
        </is>
      </c>
      <c r="D41" s="26" t="inlineStr">
        <is>
          <t>Photo Print ID: Photo Print 74</t>
        </is>
      </c>
      <c r="G41" s="35" t="n"/>
      <c r="H41" s="35" t="n"/>
      <c r="I41" s="35" t="n"/>
      <c r="J41" s="36">
        <f>IF(AND(G41&lt;&gt;"",I41&lt;&gt;""),G41-I41,"")</f>
        <v/>
      </c>
      <c r="K41" s="37">
        <f>IF(AND(G41&lt;&gt;"",G41&lt;&gt;0),J41/G41,"")</f>
        <v/>
      </c>
      <c r="L41" s="26" t="inlineStr">
        <is>
          <t>Photo Print: Photo Print 74</t>
        </is>
      </c>
      <c r="M41" s="38" t="inlineStr">
        <is>
          <t>https://cdn.shopify.com/s/files/1/0936/8656/3183/files/PXL_20250819_173821804.jpg?v=1761563379</t>
        </is>
      </c>
    </row>
    <row r="42" ht="15" customHeight="1" s="27">
      <c r="A42" s="26" t="inlineStr">
        <is>
          <t>BRAC_PP75</t>
        </is>
      </c>
      <c r="B42" s="26" t="inlineStr">
        <is>
          <t>bracelet</t>
        </is>
      </c>
      <c r="C42" s="26" t="inlineStr">
        <is>
          <t>Bracelet - Photo Print 75</t>
        </is>
      </c>
      <c r="D42" s="26" t="inlineStr">
        <is>
          <t>Photo Print ID: Photo Print 75</t>
        </is>
      </c>
      <c r="G42" s="35" t="n"/>
      <c r="H42" s="35" t="n"/>
      <c r="I42" s="35" t="n"/>
      <c r="J42" s="36">
        <f>IF(AND(G42&lt;&gt;"",I42&lt;&gt;""),G42-I42,"")</f>
        <v/>
      </c>
      <c r="K42" s="37">
        <f>IF(AND(G42&lt;&gt;"",G42&lt;&gt;0),J42/G42,"")</f>
        <v/>
      </c>
      <c r="L42" s="26" t="inlineStr">
        <is>
          <t>Photo Print: Photo Print 75</t>
        </is>
      </c>
      <c r="M42" s="38" t="inlineStr">
        <is>
          <t>https://cdn.shopify.com/s/files/1/0936/8656/3183/files/PXL_20250819_174614104.jpg?v=1761563379</t>
        </is>
      </c>
    </row>
    <row r="43" ht="15" customHeight="1" s="27">
      <c r="A43" s="26" t="inlineStr">
        <is>
          <t>BRAC_PP76</t>
        </is>
      </c>
      <c r="B43" s="26" t="inlineStr">
        <is>
          <t>bracelet</t>
        </is>
      </c>
      <c r="C43" s="26" t="inlineStr">
        <is>
          <t>Bracelet - Photo Print 76</t>
        </is>
      </c>
      <c r="D43" s="26" t="inlineStr">
        <is>
          <t>Photo Print ID: Photo Print 76</t>
        </is>
      </c>
      <c r="G43" s="35" t="n"/>
      <c r="H43" s="35" t="n"/>
      <c r="I43" s="35" t="n"/>
      <c r="J43" s="36">
        <f>IF(AND(G43&lt;&gt;"",I43&lt;&gt;""),G43-I43,"")</f>
        <v/>
      </c>
      <c r="K43" s="37">
        <f>IF(AND(G43&lt;&gt;"",G43&lt;&gt;0),J43/G43,"")</f>
        <v/>
      </c>
      <c r="L43" s="26" t="inlineStr">
        <is>
          <t>Photo Print: Photo Print 76</t>
        </is>
      </c>
      <c r="M43" s="38" t="inlineStr">
        <is>
          <t>https://cdn.shopify.com/s/files/1/0936/8656/3183/files/PXL_20250819_174833103.jpg?v=1761563379</t>
        </is>
      </c>
    </row>
    <row r="44" ht="15" customHeight="1" s="27">
      <c r="A44" s="26" t="inlineStr">
        <is>
          <t>BRAC_PP77</t>
        </is>
      </c>
      <c r="B44" s="26" t="inlineStr">
        <is>
          <t>bracelet</t>
        </is>
      </c>
      <c r="C44" s="26" t="inlineStr">
        <is>
          <t>Bracelet - Photo Print 77</t>
        </is>
      </c>
      <c r="D44" s="26" t="inlineStr">
        <is>
          <t>Photo Print ID: Photo Print 77</t>
        </is>
      </c>
      <c r="G44" s="35" t="n"/>
      <c r="H44" s="35" t="n"/>
      <c r="I44" s="35" t="n"/>
      <c r="J44" s="36">
        <f>IF(AND(G44&lt;&gt;"",I44&lt;&gt;""),G44-I44,"")</f>
        <v/>
      </c>
      <c r="K44" s="37">
        <f>IF(AND(G44&lt;&gt;"",G44&lt;&gt;0),J44/G44,"")</f>
        <v/>
      </c>
      <c r="L44" s="26" t="inlineStr">
        <is>
          <t>Photo Print: Photo Print 77</t>
        </is>
      </c>
      <c r="M44" s="38" t="inlineStr">
        <is>
          <t>https://cdn.shopify.com/s/files/1/0936/8656/3183/files/PXL_20250819_175556590.jpg?v=1761563380</t>
        </is>
      </c>
    </row>
    <row r="45" ht="15" customHeight="1" s="27">
      <c r="A45" s="26" t="inlineStr">
        <is>
          <t>BRAC_PP78</t>
        </is>
      </c>
      <c r="B45" s="26" t="inlineStr">
        <is>
          <t>bracelet</t>
        </is>
      </c>
      <c r="C45" s="26" t="inlineStr">
        <is>
          <t>Bracelet - Photo Print 78</t>
        </is>
      </c>
      <c r="D45" s="26" t="inlineStr">
        <is>
          <t>Photo Print ID: Photo Print 78</t>
        </is>
      </c>
      <c r="G45" s="35" t="n"/>
      <c r="H45" s="35" t="n"/>
      <c r="I45" s="35" t="n"/>
      <c r="J45" s="36">
        <f>IF(AND(G45&lt;&gt;"",I45&lt;&gt;""),G45-I45,"")</f>
        <v/>
      </c>
      <c r="K45" s="37">
        <f>IF(AND(G45&lt;&gt;"",G45&lt;&gt;0),J45/G45,"")</f>
        <v/>
      </c>
      <c r="L45" s="26" t="inlineStr">
        <is>
          <t>Photo Print: Photo Print 78</t>
        </is>
      </c>
      <c r="M45" s="38" t="inlineStr">
        <is>
          <t>https://cdn.shopify.com/s/files/1/0936/8656/3183/files/PXL_20250819_175223893.jpg?v=1761563379</t>
        </is>
      </c>
    </row>
    <row r="46" ht="15" customHeight="1" s="27">
      <c r="A46" s="26" t="inlineStr">
        <is>
          <t>BRAC_PP79</t>
        </is>
      </c>
      <c r="B46" s="26" t="inlineStr">
        <is>
          <t>bracelet</t>
        </is>
      </c>
      <c r="C46" s="26" t="inlineStr">
        <is>
          <t>Bracelet - Photo Print 79</t>
        </is>
      </c>
      <c r="D46" s="26" t="inlineStr">
        <is>
          <t>Photo Print ID: Photo Print 79</t>
        </is>
      </c>
      <c r="G46" s="35" t="n"/>
      <c r="H46" s="35" t="n"/>
      <c r="I46" s="35" t="n"/>
      <c r="J46" s="36">
        <f>IF(AND(G46&lt;&gt;"",I46&lt;&gt;""),G46-I46,"")</f>
        <v/>
      </c>
      <c r="K46" s="37">
        <f>IF(AND(G46&lt;&gt;"",G46&lt;&gt;0),J46/G46,"")</f>
        <v/>
      </c>
      <c r="L46" s="26" t="inlineStr">
        <is>
          <t>Photo Print: Photo Print 79</t>
        </is>
      </c>
      <c r="M46" s="38" t="inlineStr">
        <is>
          <t>https://cdn.shopify.com/s/files/1/0936/8656/3183/files/PXL_20250819_174351595.jpg?v=1761563379</t>
        </is>
      </c>
    </row>
    <row r="47" ht="15" customHeight="1" s="27">
      <c r="A47" s="26" t="inlineStr">
        <is>
          <t>BRAC_PP8</t>
        </is>
      </c>
      <c r="B47" s="26" t="inlineStr">
        <is>
          <t>bracelet</t>
        </is>
      </c>
      <c r="C47" s="26" t="inlineStr">
        <is>
          <t>Bracelet - Photo Print 8</t>
        </is>
      </c>
      <c r="D47" s="26" t="inlineStr">
        <is>
          <t>Photo Print ID: Photo Print 8</t>
        </is>
      </c>
      <c r="G47" s="35" t="n"/>
      <c r="H47" s="35" t="n"/>
      <c r="I47" s="35" t="n"/>
      <c r="J47" s="36">
        <f>IF(AND(G47&lt;&gt;"",I47&lt;&gt;""),G47-I47,"")</f>
        <v/>
      </c>
      <c r="K47" s="37">
        <f>IF(AND(G47&lt;&gt;"",G47&lt;&gt;0),J47/G47,"")</f>
        <v/>
      </c>
      <c r="L47" s="26" t="inlineStr">
        <is>
          <t>Photo Print: Photo Print 8</t>
        </is>
      </c>
      <c r="M47" s="38" t="inlineStr">
        <is>
          <t>https://cdn.shopify.com/s/files/1/0936/8656/3183/files/PXL_20250819_193630247.jpg?v=1761563364</t>
        </is>
      </c>
    </row>
    <row r="48" ht="15" customHeight="1" s="27">
      <c r="A48" s="26" t="inlineStr">
        <is>
          <t>BRAC_PP80</t>
        </is>
      </c>
      <c r="B48" s="26" t="inlineStr">
        <is>
          <t>bracelet</t>
        </is>
      </c>
      <c r="C48" s="26" t="inlineStr">
        <is>
          <t>Bracelet - Photo Print 80</t>
        </is>
      </c>
      <c r="D48" s="26" t="inlineStr">
        <is>
          <t>Photo Print ID: Photo Print 80</t>
        </is>
      </c>
      <c r="G48" s="35" t="n"/>
      <c r="H48" s="35" t="n"/>
      <c r="I48" s="35" t="n"/>
      <c r="J48" s="36">
        <f>IF(AND(G48&lt;&gt;"",I48&lt;&gt;""),G48-I48,"")</f>
        <v/>
      </c>
      <c r="K48" s="37">
        <f>IF(AND(G48&lt;&gt;"",G48&lt;&gt;0),J48/G48,"")</f>
        <v/>
      </c>
      <c r="L48" s="26" t="inlineStr">
        <is>
          <t>Photo Print: Photo Print 80</t>
        </is>
      </c>
      <c r="M48" s="38" t="inlineStr">
        <is>
          <t>https://cdn.shopify.com/s/files/1/0936/8656/3183/files/PXL_20250819_175022035.jpg?v=1761563380</t>
        </is>
      </c>
    </row>
    <row r="49" ht="15" customHeight="1" s="27">
      <c r="A49" s="26" t="inlineStr">
        <is>
          <t>BRAC_PP81</t>
        </is>
      </c>
      <c r="B49" s="26" t="inlineStr">
        <is>
          <t>bracelet</t>
        </is>
      </c>
      <c r="C49" s="26" t="inlineStr">
        <is>
          <t>Bracelet - Photo Print 81</t>
        </is>
      </c>
      <c r="D49" s="26" t="inlineStr">
        <is>
          <t>Photo Print ID: Photo Print 81</t>
        </is>
      </c>
      <c r="G49" s="35" t="n"/>
      <c r="H49" s="35" t="n"/>
      <c r="I49" s="35" t="n"/>
      <c r="J49" s="36">
        <f>IF(AND(G49&lt;&gt;"",I49&lt;&gt;""),G49-I49,"")</f>
        <v/>
      </c>
      <c r="K49" s="37">
        <f>IF(AND(G49&lt;&gt;"",G49&lt;&gt;0),J49/G49,"")</f>
        <v/>
      </c>
      <c r="L49" s="26" t="inlineStr">
        <is>
          <t>Photo Print: Photo Print 81</t>
        </is>
      </c>
      <c r="M49" s="38" t="inlineStr">
        <is>
          <t>https://cdn.shopify.com/s/files/1/0936/8656/3183/files/PXL_20250819_174926484.jpg?v=1761563380</t>
        </is>
      </c>
    </row>
    <row r="50" ht="15" customHeight="1" s="27">
      <c r="A50" s="26" t="inlineStr">
        <is>
          <t>BRAC_PP82</t>
        </is>
      </c>
      <c r="B50" s="26" t="inlineStr">
        <is>
          <t>bracelet</t>
        </is>
      </c>
      <c r="C50" s="26" t="inlineStr">
        <is>
          <t>Bracelet - Photo Print 82</t>
        </is>
      </c>
      <c r="D50" s="26" t="inlineStr">
        <is>
          <t>Photo Print ID: Photo Print 82</t>
        </is>
      </c>
      <c r="G50" s="35" t="n"/>
      <c r="H50" s="35" t="n"/>
      <c r="I50" s="35" t="n"/>
      <c r="J50" s="36">
        <f>IF(AND(G50&lt;&gt;"",I50&lt;&gt;""),G50-I50,"")</f>
        <v/>
      </c>
      <c r="K50" s="37">
        <f>IF(AND(G50&lt;&gt;"",G50&lt;&gt;0),J50/G50,"")</f>
        <v/>
      </c>
      <c r="L50" s="26" t="inlineStr">
        <is>
          <t>Photo Print: Photo Print 82</t>
        </is>
      </c>
      <c r="M50" s="38" t="inlineStr">
        <is>
          <t>https://cdn.shopify.com/s/files/1/0936/8656/3183/files/PXL_20250819_175104899.jpg?v=1761563380</t>
        </is>
      </c>
    </row>
    <row r="51" ht="15" customHeight="1" s="27">
      <c r="A51" s="26" t="inlineStr">
        <is>
          <t>BRAC_PP9</t>
        </is>
      </c>
      <c r="B51" s="26" t="inlineStr">
        <is>
          <t>bracelet</t>
        </is>
      </c>
      <c r="C51" s="26" t="inlineStr">
        <is>
          <t>Bracelet - Photo Print 9</t>
        </is>
      </c>
      <c r="D51" s="26" t="inlineStr">
        <is>
          <t>Photo Print ID: Photo Print 9</t>
        </is>
      </c>
      <c r="G51" s="35" t="n"/>
      <c r="H51" s="35" t="n"/>
      <c r="I51" s="35" t="n"/>
      <c r="J51" s="36">
        <f>IF(AND(G51&lt;&gt;"",I51&lt;&gt;""),G51-I51,"")</f>
        <v/>
      </c>
      <c r="K51" s="37">
        <f>IF(AND(G51&lt;&gt;"",G51&lt;&gt;0),J51/G51,"")</f>
        <v/>
      </c>
      <c r="L51" s="26" t="inlineStr">
        <is>
          <t>Photo Print: Photo Print 9</t>
        </is>
      </c>
      <c r="M51" s="38" t="inlineStr">
        <is>
          <t>https://cdn.shopify.com/s/files/1/0936/8656/3183/files/PXL_20250819_173937234.jpg?v=1761563364</t>
        </is>
      </c>
    </row>
    <row r="52" ht="15" customHeight="1" s="27">
      <c r="A52" s="26" t="inlineStr">
        <is>
          <t>PIID000016</t>
        </is>
      </c>
      <c r="B52" s="26" t="inlineStr">
        <is>
          <t>bracelet</t>
        </is>
      </c>
      <c r="C52" s="26" t="inlineStr">
        <is>
          <t>4mm MoissaniteTennis Bracelet</t>
        </is>
      </c>
      <c r="D52" s="26" t="inlineStr">
        <is>
          <t>925 18 CTW 4mm moissanite tennis bracelet</t>
        </is>
      </c>
      <c r="E52" s="26" t="inlineStr">
        <is>
          <t>925 Sterling Silver</t>
        </is>
      </c>
      <c r="F52" s="26" t="inlineStr">
        <is>
          <t>size 8</t>
        </is>
      </c>
      <c r="G52" s="35" t="n"/>
      <c r="H52" s="35" t="n"/>
      <c r="I52" s="35" t="n">
        <v>25</v>
      </c>
      <c r="J52" s="36">
        <f>IF(AND(G52&lt;&gt;"",I52&lt;&gt;""),G52-I52,"")</f>
        <v/>
      </c>
      <c r="K52" s="37">
        <f>IF(AND(G52&lt;&gt;"",G52&lt;&gt;0),J52/G52,"")</f>
        <v/>
      </c>
    </row>
    <row r="53" ht="15" customHeight="1" s="27">
      <c r="A53" s="26" t="inlineStr">
        <is>
          <t>PIID000017</t>
        </is>
      </c>
      <c r="B53" s="26" t="inlineStr">
        <is>
          <t>bracelet</t>
        </is>
      </c>
      <c r="C53" s="26" t="inlineStr">
        <is>
          <t>3 stone saphire gold bracelet</t>
        </is>
      </c>
      <c r="D53" s="26" t="inlineStr">
        <is>
          <t>3 saphire stone 14k hinge bracelet</t>
        </is>
      </c>
      <c r="F53" s="26" t="inlineStr">
        <is>
          <t>size 8</t>
        </is>
      </c>
      <c r="G53" s="35" t="n"/>
      <c r="H53" s="35" t="n"/>
      <c r="I53" s="35" t="n">
        <v>0</v>
      </c>
      <c r="J53" s="36">
        <f>IF(AND(G53&lt;&gt;"",I53&lt;&gt;""),G53-I53,"")</f>
        <v/>
      </c>
      <c r="K53" s="37">
        <f>IF(AND(G53&lt;&gt;"",G53&lt;&gt;0),J53/G53,"")</f>
        <v/>
      </c>
    </row>
    <row r="54" ht="15" customHeight="1" s="27">
      <c r="A54" s="26" t="inlineStr">
        <is>
          <t>PIID000018</t>
        </is>
      </c>
      <c r="B54" s="26" t="inlineStr">
        <is>
          <t>bracelet</t>
        </is>
      </c>
      <c r="C54" s="26" t="inlineStr">
        <is>
          <t>Cubic Zirconia tennis bracelet</t>
        </is>
      </c>
      <c r="D54" s="26" t="inlineStr">
        <is>
          <t>24 CTW cubic zirconia tennis bracelet</t>
        </is>
      </c>
      <c r="F54" s="26" t="inlineStr">
        <is>
          <t>size 7</t>
        </is>
      </c>
      <c r="G54" s="35" t="n"/>
      <c r="H54" s="35" t="n"/>
      <c r="I54" s="35" t="n">
        <v>0</v>
      </c>
      <c r="J54" s="36">
        <f>IF(AND(G54&lt;&gt;"",I54&lt;&gt;""),G54-I54,"")</f>
        <v/>
      </c>
      <c r="K54" s="37">
        <f>IF(AND(G54&lt;&gt;"",G54&lt;&gt;0),J54/G54,"")</f>
        <v/>
      </c>
    </row>
    <row r="55" ht="15" customHeight="1" s="27">
      <c r="A55" s="26" t="inlineStr">
        <is>
          <t>PIID000019</t>
        </is>
      </c>
      <c r="B55" s="26" t="inlineStr">
        <is>
          <t>bracelet</t>
        </is>
      </c>
      <c r="C55" s="26" t="inlineStr">
        <is>
          <t>14 k gold bracelet</t>
        </is>
      </c>
      <c r="D55" s="26" t="inlineStr">
        <is>
          <t>14 k gold bracelet size 7</t>
        </is>
      </c>
      <c r="E55" s="26" t="inlineStr">
        <is>
          <t>Gold</t>
        </is>
      </c>
      <c r="F55" s="26" t="inlineStr">
        <is>
          <t>size 7</t>
        </is>
      </c>
      <c r="G55" s="35" t="n"/>
      <c r="H55" s="35" t="n"/>
      <c r="I55" s="35" t="n">
        <v>0</v>
      </c>
      <c r="J55" s="36">
        <f>IF(AND(G55&lt;&gt;"",I55&lt;&gt;""),G55-I55,"")</f>
        <v/>
      </c>
      <c r="K55" s="37">
        <f>IF(AND(G55&lt;&gt;"",G55&lt;&gt;0),J55/G55,"")</f>
        <v/>
      </c>
    </row>
    <row r="56" ht="15" customHeight="1" s="27">
      <c r="A56" s="26" t="inlineStr">
        <is>
          <t>PIID000020</t>
        </is>
      </c>
      <c r="B56" s="26" t="inlineStr">
        <is>
          <t>bracelet</t>
        </is>
      </c>
      <c r="C56" s="26" t="inlineStr">
        <is>
          <t>12k plated 925 7 stone bracelet</t>
        </is>
      </c>
      <c r="D56" s="26" t="inlineStr">
        <is>
          <t>12k over 925.  7 glass faux diamond bracelet</t>
        </is>
      </c>
      <c r="E56" s="26" t="inlineStr">
        <is>
          <t>925 Sterling Silver</t>
        </is>
      </c>
      <c r="F56" s="26" t="inlineStr">
        <is>
          <t>size 7.5</t>
        </is>
      </c>
      <c r="G56" s="35" t="n"/>
      <c r="H56" s="35" t="n"/>
      <c r="I56" s="35" t="n"/>
      <c r="J56" s="36">
        <f>IF(AND(G56&lt;&gt;"",I56&lt;&gt;""),G56-I56,"")</f>
        <v/>
      </c>
      <c r="K56" s="37">
        <f>IF(AND(G56&lt;&gt;"",G56&lt;&gt;0),J56/G56,"")</f>
        <v/>
      </c>
    </row>
    <row r="57" ht="15" customHeight="1" s="27">
      <c r="A57" s="26" t="inlineStr">
        <is>
          <t>PIID000022</t>
        </is>
      </c>
      <c r="B57" s="26" t="inlineStr">
        <is>
          <t>bracelet</t>
        </is>
      </c>
      <c r="C57" s="26" t="inlineStr">
        <is>
          <t>2 tone diamond cut 925</t>
        </is>
      </c>
      <c r="D57" s="26" t="inlineStr">
        <is>
          <t>925 diamond cut 2 tone twist chain</t>
        </is>
      </c>
      <c r="E57" s="26" t="inlineStr">
        <is>
          <t>925 Sterling Silver</t>
        </is>
      </c>
      <c r="F57" s="26" t="inlineStr">
        <is>
          <t>size 7</t>
        </is>
      </c>
      <c r="G57" s="35" t="n"/>
      <c r="H57" s="35" t="n"/>
      <c r="I57" s="35" t="n">
        <v>25</v>
      </c>
      <c r="J57" s="36">
        <f>IF(AND(G57&lt;&gt;"",I57&lt;&gt;""),G57-I57,"")</f>
        <v/>
      </c>
      <c r="K57" s="37">
        <f>IF(AND(G57&lt;&gt;"",G57&lt;&gt;0),J57/G57,"")</f>
        <v/>
      </c>
    </row>
    <row r="58" ht="15" customHeight="1" s="27">
      <c r="A58" s="26" t="inlineStr">
        <is>
          <t>EAR_MOISS_DROP</t>
        </is>
      </c>
      <c r="B58" s="26" t="inlineStr">
        <is>
          <t>earring</t>
        </is>
      </c>
      <c r="C58" s="26" t="inlineStr">
        <is>
          <t>Moissanite Drop Earrings</t>
        </is>
      </c>
      <c r="D58" s="26" t="inlineStr">
        <is>
          <t>Photo Print ID: Moissanite drop earrings</t>
        </is>
      </c>
      <c r="G58" s="35" t="n"/>
      <c r="H58" s="35" t="n"/>
      <c r="I58" s="35" t="n"/>
      <c r="J58" s="36">
        <f>IF(AND(G58&lt;&gt;"",I58&lt;&gt;""),G58-I58,"")</f>
        <v/>
      </c>
      <c r="K58" s="37">
        <f>IF(AND(G58&lt;&gt;"",G58&lt;&gt;0),J58/G58,"")</f>
        <v/>
      </c>
      <c r="L58" s="26" t="inlineStr">
        <is>
          <t>Photo Print: Moissanite drop earrings</t>
        </is>
      </c>
      <c r="M58" s="38" t="inlineStr">
        <is>
          <t>https://cdn.shopify.com/s/files/1/0936/8656/3183/files/PC000023.jpg?v=1764408730</t>
        </is>
      </c>
    </row>
    <row r="59" ht="15" customHeight="1" s="27">
      <c r="A59" s="26" t="inlineStr">
        <is>
          <t>EAR_PP257</t>
        </is>
      </c>
      <c r="B59" s="26" t="inlineStr">
        <is>
          <t>earring</t>
        </is>
      </c>
      <c r="C59" s="26" t="inlineStr">
        <is>
          <t>Earrings - Photo Print 257</t>
        </is>
      </c>
      <c r="D59" s="26" t="inlineStr">
        <is>
          <t>Photo Print ID: Photo Print 257</t>
        </is>
      </c>
      <c r="G59" s="35" t="n"/>
      <c r="H59" s="35" t="n"/>
      <c r="I59" s="35" t="n"/>
      <c r="J59" s="36">
        <f>IF(AND(G59&lt;&gt;"",I59&lt;&gt;""),G59-I59,"")</f>
        <v/>
      </c>
      <c r="K59" s="37">
        <f>IF(AND(G59&lt;&gt;"",G59&lt;&gt;0),J59/G59,"")</f>
        <v/>
      </c>
      <c r="L59" s="26" t="inlineStr">
        <is>
          <t>Photo Print: Photo Print 257</t>
        </is>
      </c>
      <c r="M59" s="38" t="inlineStr">
        <is>
          <t>https://cdn.shopify.com/s/files/1/0936/8656/3183/files/PXL_20251108_040536996.jpg?v=1762842149</t>
        </is>
      </c>
    </row>
    <row r="60" ht="15" customHeight="1" s="27">
      <c r="A60" s="26" t="inlineStr">
        <is>
          <t>EAR_PP259</t>
        </is>
      </c>
      <c r="B60" s="26" t="inlineStr">
        <is>
          <t>earring</t>
        </is>
      </c>
      <c r="C60" s="26" t="inlineStr">
        <is>
          <t>Earrings - Photo Print 259</t>
        </is>
      </c>
      <c r="D60" s="26" t="inlineStr">
        <is>
          <t>Photo Print ID: Photo Print 259</t>
        </is>
      </c>
      <c r="G60" s="35" t="n"/>
      <c r="H60" s="35" t="n"/>
      <c r="I60" s="35" t="n"/>
      <c r="J60" s="36">
        <f>IF(AND(G60&lt;&gt;"",I60&lt;&gt;""),G60-I60,"")</f>
        <v/>
      </c>
      <c r="K60" s="37">
        <f>IF(AND(G60&lt;&gt;"",G60&lt;&gt;0),J60/G60,"")</f>
        <v/>
      </c>
      <c r="L60" s="26" t="inlineStr">
        <is>
          <t>Photo Print: Photo Print 259</t>
        </is>
      </c>
      <c r="M60" s="38" t="inlineStr">
        <is>
          <t>https://cdn.shopify.com/s/files/1/0936/8656/3183/files/PXL_20251108_040704002.jpg?v=1762842149</t>
        </is>
      </c>
    </row>
    <row r="61" ht="15" customHeight="1" s="27">
      <c r="A61" s="26" t="inlineStr">
        <is>
          <t>EAR_PP261</t>
        </is>
      </c>
      <c r="B61" s="26" t="inlineStr">
        <is>
          <t>earring</t>
        </is>
      </c>
      <c r="C61" s="26" t="inlineStr">
        <is>
          <t>Earrings - Photo Print 261</t>
        </is>
      </c>
      <c r="D61" s="26" t="inlineStr">
        <is>
          <t>Photo Print ID: Photo Print 261</t>
        </is>
      </c>
      <c r="G61" s="35" t="n"/>
      <c r="H61" s="35" t="n"/>
      <c r="I61" s="35" t="n"/>
      <c r="J61" s="36">
        <f>IF(AND(G61&lt;&gt;"",I61&lt;&gt;""),G61-I61,"")</f>
        <v/>
      </c>
      <c r="K61" s="37">
        <f>IF(AND(G61&lt;&gt;"",G61&lt;&gt;0),J61/G61,"")</f>
        <v/>
      </c>
      <c r="L61" s="26" t="inlineStr">
        <is>
          <t>Photo Print: Photo Print 261</t>
        </is>
      </c>
      <c r="M61" s="38" t="inlineStr">
        <is>
          <t>https://cdn.shopify.com/s/files/1/0936/8656/3183/files/PXL_20251108_040710433.jpg?v=1762842150</t>
        </is>
      </c>
    </row>
    <row r="62" ht="15" customHeight="1" s="27">
      <c r="A62" s="26" t="inlineStr">
        <is>
          <t>EAR_PP263</t>
        </is>
      </c>
      <c r="B62" s="26" t="inlineStr">
        <is>
          <t>earring</t>
        </is>
      </c>
      <c r="C62" s="26" t="inlineStr">
        <is>
          <t>Earrings - Photo Print 263</t>
        </is>
      </c>
      <c r="D62" s="26" t="inlineStr">
        <is>
          <t>Photo Print ID: Photo Print 263</t>
        </is>
      </c>
      <c r="G62" s="35" t="n"/>
      <c r="H62" s="35" t="n"/>
      <c r="I62" s="35" t="n"/>
      <c r="J62" s="36">
        <f>IF(AND(G62&lt;&gt;"",I62&lt;&gt;""),G62-I62,"")</f>
        <v/>
      </c>
      <c r="K62" s="37">
        <f>IF(AND(G62&lt;&gt;"",G62&lt;&gt;0),J62/G62,"")</f>
        <v/>
      </c>
      <c r="L62" s="26" t="inlineStr">
        <is>
          <t>Photo Print: Photo Print 263</t>
        </is>
      </c>
      <c r="M62" s="38" t="inlineStr">
        <is>
          <t>https://cdn.shopify.com/s/files/1/0936/8656/3183/files/PXL_20251108_040139833.jpg?v=1762842150</t>
        </is>
      </c>
    </row>
    <row r="63" ht="15" customHeight="1" s="27">
      <c r="A63" s="26" t="inlineStr">
        <is>
          <t>EAR_PP280</t>
        </is>
      </c>
      <c r="B63" s="26" t="inlineStr">
        <is>
          <t>earring</t>
        </is>
      </c>
      <c r="C63" s="26" t="inlineStr">
        <is>
          <t>Earrings - Photo Print 280</t>
        </is>
      </c>
      <c r="D63" s="26" t="inlineStr">
        <is>
          <t>Photo Print ID: Photo Print 280</t>
        </is>
      </c>
      <c r="G63" s="35" t="n"/>
      <c r="H63" s="35" t="n"/>
      <c r="I63" s="35" t="n"/>
      <c r="J63" s="36">
        <f>IF(AND(G63&lt;&gt;"",I63&lt;&gt;""),G63-I63,"")</f>
        <v/>
      </c>
      <c r="K63" s="37">
        <f>IF(AND(G63&lt;&gt;"",G63&lt;&gt;0),J63/G63,"")</f>
        <v/>
      </c>
      <c r="L63" s="26" t="inlineStr">
        <is>
          <t>Photo Print: Photo Print 280</t>
        </is>
      </c>
      <c r="M63" s="38" t="inlineStr">
        <is>
          <t>https://cdn.shopify.com/s/files/1/0936/8656/3183/files/PXL_20251108_040710433_b5b22ba0-df8f-4c1c-9420-452483e97f22.jpg?v=1762842153</t>
        </is>
      </c>
    </row>
    <row r="64" ht="15" customHeight="1" s="27">
      <c r="A64" s="26" t="inlineStr">
        <is>
          <t>EAR_PP287</t>
        </is>
      </c>
      <c r="B64" s="26" t="inlineStr">
        <is>
          <t>earring</t>
        </is>
      </c>
      <c r="C64" s="26" t="inlineStr">
        <is>
          <t>Earrings - Photo Print 287</t>
        </is>
      </c>
      <c r="D64" s="26" t="inlineStr">
        <is>
          <t>Photo Print ID: Photo Print 287</t>
        </is>
      </c>
      <c r="G64" s="35" t="n"/>
      <c r="H64" s="35" t="n"/>
      <c r="I64" s="35" t="n"/>
      <c r="J64" s="36">
        <f>IF(AND(G64&lt;&gt;"",I64&lt;&gt;""),G64-I64,"")</f>
        <v/>
      </c>
      <c r="K64" s="37">
        <f>IF(AND(G64&lt;&gt;"",G64&lt;&gt;0),J64/G64,"")</f>
        <v/>
      </c>
      <c r="L64" s="26" t="inlineStr">
        <is>
          <t>Photo Print: Photo Print 287</t>
        </is>
      </c>
      <c r="M64" s="38" t="inlineStr">
        <is>
          <t>https://cdn.shopify.com/s/files/1/0936/8656/3183/files/PXL_20251108_040221416.jpg?v=1762842153</t>
        </is>
      </c>
    </row>
    <row r="65" ht="15" customHeight="1" s="27">
      <c r="A65" s="26" t="inlineStr">
        <is>
          <t>EAR_PP291</t>
        </is>
      </c>
      <c r="B65" s="26" t="inlineStr">
        <is>
          <t>earring</t>
        </is>
      </c>
      <c r="C65" s="26" t="inlineStr">
        <is>
          <t>Earrings - Photo Print 291</t>
        </is>
      </c>
      <c r="D65" s="26" t="inlineStr">
        <is>
          <t>Photo Print ID: Photo Print 291</t>
        </is>
      </c>
      <c r="G65" s="35" t="n"/>
      <c r="H65" s="35" t="n"/>
      <c r="I65" s="35" t="n"/>
      <c r="J65" s="36">
        <f>IF(AND(G65&lt;&gt;"",I65&lt;&gt;""),G65-I65,"")</f>
        <v/>
      </c>
      <c r="K65" s="37">
        <f>IF(AND(G65&lt;&gt;"",G65&lt;&gt;0),J65/G65,"")</f>
        <v/>
      </c>
      <c r="L65" s="26" t="inlineStr">
        <is>
          <t>Photo Print: Photo Print 291</t>
        </is>
      </c>
      <c r="M65" s="38" t="inlineStr">
        <is>
          <t>https://cdn.shopify.com/s/files/1/0936/8656/3183/files/PXL_20251108_040536996_848b69f9-9d7a-4128-9910-4b318ec32693.jpg?v=1762842153</t>
        </is>
      </c>
    </row>
    <row r="66" ht="15" customHeight="1" s="27">
      <c r="A66" s="26" t="inlineStr">
        <is>
          <t>EAR_PP292</t>
        </is>
      </c>
      <c r="B66" s="26" t="inlineStr">
        <is>
          <t>earring</t>
        </is>
      </c>
      <c r="C66" s="26" t="inlineStr">
        <is>
          <t>Earrings - Photo Print 292</t>
        </is>
      </c>
      <c r="D66" s="26" t="inlineStr">
        <is>
          <t>Photo Print ID: Photo Print 292</t>
        </is>
      </c>
      <c r="G66" s="35" t="n"/>
      <c r="H66" s="35" t="n"/>
      <c r="I66" s="35" t="n"/>
      <c r="J66" s="36">
        <f>IF(AND(G66&lt;&gt;"",I66&lt;&gt;""),G66-I66,"")</f>
        <v/>
      </c>
      <c r="K66" s="37">
        <f>IF(AND(G66&lt;&gt;"",G66&lt;&gt;0),J66/G66,"")</f>
        <v/>
      </c>
      <c r="L66" s="26" t="inlineStr">
        <is>
          <t>Photo Print: Photo Print 292</t>
        </is>
      </c>
      <c r="M66" s="38" t="inlineStr">
        <is>
          <t>https://cdn.shopify.com/s/files/1/0936/8656/3183/files/PXL_20251108_040704002_5f2fa9e7-f049-4444-96fe-962507ec58bc.jpg?v=1762842153</t>
        </is>
      </c>
    </row>
    <row r="67" ht="15" customHeight="1" s="27">
      <c r="A67" s="26" t="inlineStr">
        <is>
          <t>EAR_PP297</t>
        </is>
      </c>
      <c r="B67" s="26" t="inlineStr">
        <is>
          <t>earring</t>
        </is>
      </c>
      <c r="C67" s="26" t="inlineStr">
        <is>
          <t>Earrings - Photo Print 297</t>
        </is>
      </c>
      <c r="D67" s="26" t="inlineStr">
        <is>
          <t>Photo Print ID: Photo Print 297</t>
        </is>
      </c>
      <c r="G67" s="35" t="n"/>
      <c r="H67" s="35" t="n"/>
      <c r="I67" s="35" t="n"/>
      <c r="J67" s="36">
        <f>IF(AND(G67&lt;&gt;"",I67&lt;&gt;""),G67-I67,"")</f>
        <v/>
      </c>
      <c r="K67" s="37">
        <f>IF(AND(G67&lt;&gt;"",G67&lt;&gt;0),J67/G67,"")</f>
        <v/>
      </c>
      <c r="L67" s="26" t="inlineStr">
        <is>
          <t>Photo Print: Photo Print 297</t>
        </is>
      </c>
      <c r="M67" s="38" t="inlineStr">
        <is>
          <t>https://cdn.shopify.com/s/files/1/0936/8656/3183/files/PXL_20251108_042407875.jpg?v=1762842154</t>
        </is>
      </c>
    </row>
    <row r="68" ht="15" customHeight="1" s="27">
      <c r="A68" s="26" t="inlineStr">
        <is>
          <t>EAR_PP299</t>
        </is>
      </c>
      <c r="B68" s="26" t="inlineStr">
        <is>
          <t>earring</t>
        </is>
      </c>
      <c r="C68" s="26" t="inlineStr">
        <is>
          <t>Earrings - Photo Print 299</t>
        </is>
      </c>
      <c r="D68" s="26" t="inlineStr">
        <is>
          <t>Photo Print ID: Photo Print 299</t>
        </is>
      </c>
      <c r="G68" s="35" t="n"/>
      <c r="H68" s="35" t="n"/>
      <c r="I68" s="35" t="n"/>
      <c r="J68" s="36">
        <f>IF(AND(G68&lt;&gt;"",I68&lt;&gt;""),G68-I68,"")</f>
        <v/>
      </c>
      <c r="K68" s="37">
        <f>IF(AND(G68&lt;&gt;"",G68&lt;&gt;0),J68/G68,"")</f>
        <v/>
      </c>
      <c r="L68" s="26" t="inlineStr">
        <is>
          <t>Photo Print: Photo Print 299</t>
        </is>
      </c>
      <c r="M68" s="38" t="inlineStr">
        <is>
          <t>https://cdn.shopify.com/s/files/1/0936/8656/3183/files/PXL_20251108_040221416_23019738-cc17-4575-991a-fc5e788baf0d.jpg?v=1762842155</t>
        </is>
      </c>
    </row>
    <row r="69" ht="15" customHeight="1" s="27">
      <c r="A69" s="26" t="inlineStr">
        <is>
          <t>EAR_PP300</t>
        </is>
      </c>
      <c r="B69" s="26" t="inlineStr">
        <is>
          <t>earring</t>
        </is>
      </c>
      <c r="C69" s="26" t="inlineStr">
        <is>
          <t>Earrings - Photo Print 300</t>
        </is>
      </c>
      <c r="D69" s="26" t="inlineStr">
        <is>
          <t>Photo Print ID: Photo Print 300</t>
        </is>
      </c>
      <c r="G69" s="35" t="n"/>
      <c r="H69" s="35" t="n"/>
      <c r="I69" s="35" t="n"/>
      <c r="J69" s="36">
        <f>IF(AND(G69&lt;&gt;"",I69&lt;&gt;""),G69-I69,"")</f>
        <v/>
      </c>
      <c r="K69" s="37">
        <f>IF(AND(G69&lt;&gt;"",G69&lt;&gt;0),J69/G69,"")</f>
        <v/>
      </c>
      <c r="L69" s="26" t="inlineStr">
        <is>
          <t>Photo Print: Photo Print 300</t>
        </is>
      </c>
      <c r="M69" s="38" t="inlineStr">
        <is>
          <t>https://cdn.shopify.com/s/files/1/0936/8656/3183/files/PXL_20251108_040139833_e6e05fb8-d499-43ef-a509-fd46954be110.jpg?v=1762842155</t>
        </is>
      </c>
    </row>
    <row r="70" ht="15" customHeight="1" s="27">
      <c r="A70" s="26" t="inlineStr">
        <is>
          <t>EAR_PP301</t>
        </is>
      </c>
      <c r="B70" s="26" t="inlineStr">
        <is>
          <t>earring</t>
        </is>
      </c>
      <c r="C70" s="26" t="inlineStr">
        <is>
          <t>Earrings - Photo Print 301</t>
        </is>
      </c>
      <c r="D70" s="26" t="inlineStr">
        <is>
          <t>Photo Print ID: Photo Print 301</t>
        </is>
      </c>
      <c r="G70" s="35" t="n"/>
      <c r="H70" s="35" t="n"/>
      <c r="I70" s="35" t="n"/>
      <c r="J70" s="36">
        <f>IF(AND(G70&lt;&gt;"",I70&lt;&gt;""),G70-I70,"")</f>
        <v/>
      </c>
      <c r="K70" s="37">
        <f>IF(AND(G70&lt;&gt;"",G70&lt;&gt;0),J70/G70,"")</f>
        <v/>
      </c>
      <c r="L70" s="26" t="inlineStr">
        <is>
          <t>Photo Print: Photo Print 301</t>
        </is>
      </c>
      <c r="M70" s="38" t="inlineStr">
        <is>
          <t>https://cdn.shopify.com/s/files/1/0936/8656/3183/files/PXL_20251108_042408086.jpg?v=1762842157</t>
        </is>
      </c>
    </row>
    <row r="71" ht="15" customHeight="1" s="27">
      <c r="A71" s="26" t="inlineStr">
        <is>
          <t>EAR_PP308</t>
        </is>
      </c>
      <c r="B71" s="26" t="inlineStr">
        <is>
          <t>earring</t>
        </is>
      </c>
      <c r="C71" s="26" t="inlineStr">
        <is>
          <t>Earrings - Photo Print 308</t>
        </is>
      </c>
      <c r="D71" s="26" t="inlineStr">
        <is>
          <t>Photo Print ID: Photo Print 308</t>
        </is>
      </c>
      <c r="G71" s="35" t="n"/>
      <c r="H71" s="35" t="n"/>
      <c r="I71" s="35" t="n"/>
      <c r="J71" s="36">
        <f>IF(AND(G71&lt;&gt;"",I71&lt;&gt;""),G71-I71,"")</f>
        <v/>
      </c>
      <c r="K71" s="37">
        <f>IF(AND(G71&lt;&gt;"",G71&lt;&gt;0),J71/G71,"")</f>
        <v/>
      </c>
      <c r="L71" s="26" t="inlineStr">
        <is>
          <t>Photo Print: Photo Print 308</t>
        </is>
      </c>
      <c r="M71" s="38" t="inlineStr">
        <is>
          <t>https://cdn.shopify.com/s/files/1/0936/8656/3183/files/PXL_20251108_042408086_add7bfa5-1b4d-47c0-87d0-b45202f65f62.jpg?v=1762842157</t>
        </is>
      </c>
    </row>
    <row r="72" ht="15" customHeight="1" s="27">
      <c r="A72" s="26" t="inlineStr">
        <is>
          <t>EAR_PP309</t>
        </is>
      </c>
      <c r="B72" s="26" t="inlineStr">
        <is>
          <t>earring</t>
        </is>
      </c>
      <c r="C72" s="26" t="inlineStr">
        <is>
          <t>Earrings - Photo Print 309</t>
        </is>
      </c>
      <c r="D72" s="26" t="inlineStr">
        <is>
          <t>Photo Print ID: Photo Print 309</t>
        </is>
      </c>
      <c r="G72" s="35" t="n"/>
      <c r="H72" s="35" t="n"/>
      <c r="I72" s="35" t="n"/>
      <c r="J72" s="36">
        <f>IF(AND(G72&lt;&gt;"",I72&lt;&gt;""),G72-I72,"")</f>
        <v/>
      </c>
      <c r="K72" s="37">
        <f>IF(AND(G72&lt;&gt;"",G72&lt;&gt;0),J72/G72,"")</f>
        <v/>
      </c>
      <c r="L72" s="26" t="inlineStr">
        <is>
          <t>Photo Print: Photo Print 309</t>
        </is>
      </c>
      <c r="M72" s="38" t="inlineStr">
        <is>
          <t>https://cdn.shopify.com/s/files/1/0936/8656/3183/files/PXL_20251108_041704452.jpg?v=1762842157</t>
        </is>
      </c>
    </row>
    <row r="73" ht="15" customHeight="1" s="27">
      <c r="A73" s="26" t="inlineStr">
        <is>
          <t>EAR_PP31</t>
        </is>
      </c>
      <c r="B73" s="26" t="inlineStr">
        <is>
          <t>earring</t>
        </is>
      </c>
      <c r="C73" s="26" t="inlineStr">
        <is>
          <t>Earrings - Photo Print 31</t>
        </is>
      </c>
      <c r="D73" s="26" t="inlineStr">
        <is>
          <t>Photo Print ID: Photo Print 31</t>
        </is>
      </c>
      <c r="G73" s="35" t="n"/>
      <c r="H73" s="35" t="n"/>
      <c r="I73" s="35" t="n"/>
      <c r="J73" s="36">
        <f>IF(AND(G73&lt;&gt;"",I73&lt;&gt;""),G73-I73,"")</f>
        <v/>
      </c>
      <c r="K73" s="37">
        <f>IF(AND(G73&lt;&gt;"",G73&lt;&gt;0),J73/G73,"")</f>
        <v/>
      </c>
      <c r="L73" s="26" t="inlineStr">
        <is>
          <t>Photo Print: Photo Print 31</t>
        </is>
      </c>
      <c r="M73" s="38" t="inlineStr">
        <is>
          <t>https://cdn.shopify.com/s/files/1/0936/8656/3183/files/PXL_20250819_175826616.jpg?v=1761563373</t>
        </is>
      </c>
    </row>
    <row r="74" ht="15" customHeight="1" s="27">
      <c r="A74" s="26" t="inlineStr">
        <is>
          <t>EAR_PP312</t>
        </is>
      </c>
      <c r="B74" s="26" t="inlineStr">
        <is>
          <t>earring</t>
        </is>
      </c>
      <c r="C74" s="26" t="inlineStr">
        <is>
          <t>Earrings - Photo Print 312</t>
        </is>
      </c>
      <c r="D74" s="26" t="inlineStr">
        <is>
          <t>Photo Print ID: Photo Print 312</t>
        </is>
      </c>
      <c r="G74" s="35" t="n"/>
      <c r="H74" s="35" t="n"/>
      <c r="I74" s="35" t="n"/>
      <c r="J74" s="36">
        <f>IF(AND(G74&lt;&gt;"",I74&lt;&gt;""),G74-I74,"")</f>
        <v/>
      </c>
      <c r="K74" s="37">
        <f>IF(AND(G74&lt;&gt;"",G74&lt;&gt;0),J74/G74,"")</f>
        <v/>
      </c>
      <c r="L74" s="26" t="inlineStr">
        <is>
          <t>Photo Print: Photo Print 312</t>
        </is>
      </c>
      <c r="M74" s="38" t="inlineStr">
        <is>
          <t>https://cdn.shopify.com/s/files/1/0936/8656/3183/files/PXL_20251108_042407875_fa96d9bc-c06e-4a8d-9cd2-db2dba2eefb7.jpg?v=1762842157</t>
        </is>
      </c>
    </row>
    <row r="75" ht="15" customHeight="1" s="27">
      <c r="A75" s="26" t="inlineStr">
        <is>
          <t>EAR_PP319</t>
        </is>
      </c>
      <c r="B75" s="26" t="inlineStr">
        <is>
          <t>earring</t>
        </is>
      </c>
      <c r="C75" s="26" t="inlineStr">
        <is>
          <t>Earrings - Photo Print 319</t>
        </is>
      </c>
      <c r="D75" s="26" t="inlineStr">
        <is>
          <t>Photo Print ID: Photo Print 319</t>
        </is>
      </c>
      <c r="G75" s="35" t="n"/>
      <c r="H75" s="35" t="n"/>
      <c r="I75" s="35" t="n"/>
      <c r="J75" s="36">
        <f>IF(AND(G75&lt;&gt;"",I75&lt;&gt;""),G75-I75,"")</f>
        <v/>
      </c>
      <c r="K75" s="37">
        <f>IF(AND(G75&lt;&gt;"",G75&lt;&gt;0),J75/G75,"")</f>
        <v/>
      </c>
      <c r="L75" s="26" t="inlineStr">
        <is>
          <t>Photo Print: Photo Print 319</t>
        </is>
      </c>
      <c r="M75" s="38" t="inlineStr">
        <is>
          <t>https://cdn.shopify.com/s/files/1/0936/8656/3183/files/PXL_20251108_041441297.jpg?v=1762842158</t>
        </is>
      </c>
    </row>
    <row r="76" ht="15" customHeight="1" s="27">
      <c r="A76" s="26" t="inlineStr">
        <is>
          <t>EAR_PP329</t>
        </is>
      </c>
      <c r="B76" s="26" t="inlineStr">
        <is>
          <t>earring</t>
        </is>
      </c>
      <c r="C76" s="26" t="inlineStr">
        <is>
          <t>Earrings - Photo Print 329</t>
        </is>
      </c>
      <c r="D76" s="26" t="inlineStr">
        <is>
          <t>Photo Print ID: Photo Print 329</t>
        </is>
      </c>
      <c r="G76" s="35" t="n"/>
      <c r="H76" s="35" t="n"/>
      <c r="I76" s="35" t="n"/>
      <c r="J76" s="36">
        <f>IF(AND(G76&lt;&gt;"",I76&lt;&gt;""),G76-I76,"")</f>
        <v/>
      </c>
      <c r="K76" s="37">
        <f>IF(AND(G76&lt;&gt;"",G76&lt;&gt;0),J76/G76,"")</f>
        <v/>
      </c>
      <c r="L76" s="26" t="inlineStr">
        <is>
          <t>Photo Print: Photo Print 329</t>
        </is>
      </c>
      <c r="M76" s="38" t="inlineStr">
        <is>
          <t>https://cdn.shopify.com/s/files/1/0936/8656/3183/files/PXL_20251108_041437230.jpg?v=1762842158</t>
        </is>
      </c>
    </row>
    <row r="77" ht="15" customHeight="1" s="27">
      <c r="A77" s="26" t="inlineStr">
        <is>
          <t>EAR_PP33</t>
        </is>
      </c>
      <c r="B77" s="26" t="inlineStr">
        <is>
          <t>earring</t>
        </is>
      </c>
      <c r="C77" s="26" t="inlineStr">
        <is>
          <t>Earrings - Photo Print 33</t>
        </is>
      </c>
      <c r="D77" s="26" t="inlineStr">
        <is>
          <t>Photo Print ID: Photo Print 33</t>
        </is>
      </c>
      <c r="G77" s="35" t="n"/>
      <c r="H77" s="35" t="n"/>
      <c r="I77" s="35" t="n"/>
      <c r="J77" s="36">
        <f>IF(AND(G77&lt;&gt;"",I77&lt;&gt;""),G77-I77,"")</f>
        <v/>
      </c>
      <c r="K77" s="37">
        <f>IF(AND(G77&lt;&gt;"",G77&lt;&gt;0),J77/G77,"")</f>
        <v/>
      </c>
      <c r="L77" s="26" t="inlineStr">
        <is>
          <t>Photo Print: Photo Print 33</t>
        </is>
      </c>
      <c r="M77" s="38" t="inlineStr">
        <is>
          <t>https://cdn.shopify.com/s/files/1/0936/8656/3183/files/PXL_20250819_194216436.jpg?v=1761563374</t>
        </is>
      </c>
    </row>
    <row r="78" ht="15" customHeight="1" s="27">
      <c r="A78" s="26" t="inlineStr">
        <is>
          <t>EAR_PP334</t>
        </is>
      </c>
      <c r="B78" s="26" t="inlineStr">
        <is>
          <t>earring</t>
        </is>
      </c>
      <c r="C78" s="26" t="inlineStr">
        <is>
          <t>Earrings - Photo Print 334</t>
        </is>
      </c>
      <c r="D78" s="26" t="inlineStr">
        <is>
          <t>Photo Print ID: Photo Print 334</t>
        </is>
      </c>
      <c r="G78" s="35" t="n"/>
      <c r="H78" s="35" t="n"/>
      <c r="I78" s="35" t="n"/>
      <c r="J78" s="36">
        <f>IF(AND(G78&lt;&gt;"",I78&lt;&gt;""),G78-I78,"")</f>
        <v/>
      </c>
      <c r="K78" s="37">
        <f>IF(AND(G78&lt;&gt;"",G78&lt;&gt;0),J78/G78,"")</f>
        <v/>
      </c>
      <c r="L78" s="26" t="inlineStr">
        <is>
          <t>Photo Print: Photo Print 334</t>
        </is>
      </c>
      <c r="M78" s="38" t="inlineStr">
        <is>
          <t>https://cdn.shopify.com/s/files/1/0936/8656/3183/files/PXL_20251108_041704452_63d7c4d2-a9d2-4fe8-9854-30a727e1b632.jpg?v=1762842158</t>
        </is>
      </c>
    </row>
    <row r="79" ht="15" customHeight="1" s="27">
      <c r="A79" s="26" t="inlineStr">
        <is>
          <t>EAR_PP335</t>
        </is>
      </c>
      <c r="B79" s="26" t="inlineStr">
        <is>
          <t>earring</t>
        </is>
      </c>
      <c r="C79" s="26" t="inlineStr">
        <is>
          <t>Earrings - Photo Print 335</t>
        </is>
      </c>
      <c r="D79" s="26" t="inlineStr">
        <is>
          <t>Photo Print ID: Photo Print 335</t>
        </is>
      </c>
      <c r="G79" s="35" t="n"/>
      <c r="H79" s="35" t="n"/>
      <c r="I79" s="35" t="n"/>
      <c r="J79" s="36">
        <f>IF(AND(G79&lt;&gt;"",I79&lt;&gt;""),G79-I79,"")</f>
        <v/>
      </c>
      <c r="K79" s="37">
        <f>IF(AND(G79&lt;&gt;"",G79&lt;&gt;0),J79/G79,"")</f>
        <v/>
      </c>
      <c r="L79" s="26" t="inlineStr">
        <is>
          <t>Photo Print: Photo Print 335</t>
        </is>
      </c>
      <c r="M79" s="38" t="inlineStr">
        <is>
          <t>https://cdn.shopify.com/s/files/1/0936/8656/3183/files/PXL_20251108_041441297_c479b5c5-5763-445f-aa5d-c5912bb09f4a.jpg?v=1762842158</t>
        </is>
      </c>
    </row>
    <row r="80" ht="15" customHeight="1" s="27">
      <c r="A80" s="26" t="inlineStr">
        <is>
          <t>EAR_PP344</t>
        </is>
      </c>
      <c r="B80" s="26" t="inlineStr">
        <is>
          <t>earring</t>
        </is>
      </c>
      <c r="C80" s="26" t="inlineStr">
        <is>
          <t>Earrings - Photo Print 344</t>
        </is>
      </c>
      <c r="D80" s="26" t="inlineStr">
        <is>
          <t>Photo Print ID: Photo Print 344</t>
        </is>
      </c>
      <c r="G80" s="35" t="n"/>
      <c r="H80" s="35" t="n"/>
      <c r="I80" s="35" t="n"/>
      <c r="J80" s="36">
        <f>IF(AND(G80&lt;&gt;"",I80&lt;&gt;""),G80-I80,"")</f>
        <v/>
      </c>
      <c r="K80" s="37">
        <f>IF(AND(G80&lt;&gt;"",G80&lt;&gt;0),J80/G80,"")</f>
        <v/>
      </c>
      <c r="L80" s="26" t="inlineStr">
        <is>
          <t>Photo Print: Photo Print 344</t>
        </is>
      </c>
      <c r="M80" s="38" t="inlineStr">
        <is>
          <t>https://cdn.shopify.com/s/files/1/0936/8656/3183/files/PXL_20251108_035550251.jpg?v=1762842161</t>
        </is>
      </c>
    </row>
    <row r="81" ht="15" customHeight="1" s="27">
      <c r="A81" s="26" t="inlineStr">
        <is>
          <t>EAR_PP356</t>
        </is>
      </c>
      <c r="B81" s="26" t="inlineStr">
        <is>
          <t>earring</t>
        </is>
      </c>
      <c r="C81" s="26" t="inlineStr">
        <is>
          <t>Earrings - Photo Print 356</t>
        </is>
      </c>
      <c r="D81" s="26" t="inlineStr">
        <is>
          <t>Photo Print ID: Photo Print 356</t>
        </is>
      </c>
      <c r="G81" s="35" t="n"/>
      <c r="H81" s="35" t="n"/>
      <c r="I81" s="35" t="n"/>
      <c r="J81" s="36">
        <f>IF(AND(G81&lt;&gt;"",I81&lt;&gt;""),G81-I81,"")</f>
        <v/>
      </c>
      <c r="K81" s="37">
        <f>IF(AND(G81&lt;&gt;"",G81&lt;&gt;0),J81/G81,"")</f>
        <v/>
      </c>
      <c r="L81" s="26" t="inlineStr">
        <is>
          <t>Photo Print: Photo Print 356</t>
        </is>
      </c>
      <c r="M81" s="38" t="inlineStr">
        <is>
          <t>https://cdn.shopify.com/s/files/1/0936/8656/3183/files/PXL_20251108_040221416_5ebbbc43-7c7e-44fa-a43c-835f94bd8b42.jpg?v=1764410285</t>
        </is>
      </c>
    </row>
    <row r="82" ht="15" customHeight="1" s="27">
      <c r="A82" s="26" t="inlineStr">
        <is>
          <t>EAR_PP357</t>
        </is>
      </c>
      <c r="B82" s="26" t="inlineStr">
        <is>
          <t>earring</t>
        </is>
      </c>
      <c r="C82" s="26" t="inlineStr">
        <is>
          <t>Earrings - Photo Print 357</t>
        </is>
      </c>
      <c r="D82" s="26" t="inlineStr">
        <is>
          <t>Photo Print ID: Photo Print 357</t>
        </is>
      </c>
      <c r="G82" s="35" t="n"/>
      <c r="H82" s="35" t="n"/>
      <c r="I82" s="35" t="n"/>
      <c r="J82" s="36">
        <f>IF(AND(G82&lt;&gt;"",I82&lt;&gt;""),G82-I82,"")</f>
        <v/>
      </c>
      <c r="K82" s="37">
        <f>IF(AND(G82&lt;&gt;"",G82&lt;&gt;0),J82/G82,"")</f>
        <v/>
      </c>
      <c r="L82" s="26" t="inlineStr">
        <is>
          <t>Photo Print: Photo Print 357</t>
        </is>
      </c>
      <c r="M82" s="38" t="inlineStr">
        <is>
          <t>https://cdn.shopify.com/s/files/1/0936/8656/3183/files/PC000009-1.jpg?v=1764410217</t>
        </is>
      </c>
    </row>
    <row r="83" ht="15" customHeight="1" s="27">
      <c r="A83" s="26" t="inlineStr">
        <is>
          <t>EAR_PP361</t>
        </is>
      </c>
      <c r="B83" s="26" t="inlineStr">
        <is>
          <t>earring</t>
        </is>
      </c>
      <c r="C83" s="26" t="inlineStr">
        <is>
          <t>Earrings - Photo Print 361</t>
        </is>
      </c>
      <c r="D83" s="26" t="inlineStr">
        <is>
          <t>Photo Print ID: Photo Print 361</t>
        </is>
      </c>
      <c r="G83" s="35" t="n"/>
      <c r="H83" s="35" t="n"/>
      <c r="I83" s="35" t="n"/>
      <c r="J83" s="36">
        <f>IF(AND(G83&lt;&gt;"",I83&lt;&gt;""),G83-I83,"")</f>
        <v/>
      </c>
      <c r="K83" s="37">
        <f>IF(AND(G83&lt;&gt;"",G83&lt;&gt;0),J83/G83,"")</f>
        <v/>
      </c>
      <c r="L83" s="26" t="inlineStr">
        <is>
          <t>Photo Print: Photo Print 361</t>
        </is>
      </c>
      <c r="M83" s="38" t="inlineStr">
        <is>
          <t>https://cdn.shopify.com/s/files/1/0936/8656/3183/files/PC000008.jpg?v=1764410138</t>
        </is>
      </c>
    </row>
    <row r="84" ht="15" customHeight="1" s="27">
      <c r="A84" s="26" t="inlineStr">
        <is>
          <t>EAR_PP362</t>
        </is>
      </c>
      <c r="B84" s="26" t="inlineStr">
        <is>
          <t>earring</t>
        </is>
      </c>
      <c r="C84" s="26" t="inlineStr">
        <is>
          <t>Earrings - Photo Print 362</t>
        </is>
      </c>
      <c r="D84" s="26" t="inlineStr">
        <is>
          <t>Photo Print ID: Photo Print 362</t>
        </is>
      </c>
      <c r="G84" s="35" t="n"/>
      <c r="H84" s="35" t="n"/>
      <c r="I84" s="35" t="n"/>
      <c r="J84" s="36">
        <f>IF(AND(G84&lt;&gt;"",I84&lt;&gt;""),G84-I84,"")</f>
        <v/>
      </c>
      <c r="K84" s="37">
        <f>IF(AND(G84&lt;&gt;"",G84&lt;&gt;0),J84/G84,"")</f>
        <v/>
      </c>
      <c r="L84" s="26" t="inlineStr">
        <is>
          <t>Photo Print: Photo Print 362</t>
        </is>
      </c>
      <c r="M84" s="38" t="inlineStr">
        <is>
          <t>https://cdn.shopify.com/s/files/1/0936/8656/3183/files/PC000009.jpg?v=1764409764</t>
        </is>
      </c>
    </row>
    <row r="85" ht="15" customHeight="1" s="27">
      <c r="A85" s="26" t="inlineStr">
        <is>
          <t>EAR_PP381</t>
        </is>
      </c>
      <c r="B85" s="26" t="inlineStr">
        <is>
          <t>earring</t>
        </is>
      </c>
      <c r="C85" s="26" t="inlineStr">
        <is>
          <t>Earrings - Photo Print 381</t>
        </is>
      </c>
      <c r="D85" s="26" t="inlineStr">
        <is>
          <t>Photo Print ID: Photo Print 381</t>
        </is>
      </c>
      <c r="G85" s="35" t="n"/>
      <c r="H85" s="35" t="n"/>
      <c r="I85" s="35" t="n"/>
      <c r="J85" s="36">
        <f>IF(AND(G85&lt;&gt;"",I85&lt;&gt;""),G85-I85,"")</f>
        <v/>
      </c>
      <c r="K85" s="37">
        <f>IF(AND(G85&lt;&gt;"",G85&lt;&gt;0),J85/G85,"")</f>
        <v/>
      </c>
      <c r="L85" s="26" t="inlineStr">
        <is>
          <t>Photo Print: Photo Print 381</t>
        </is>
      </c>
      <c r="M85" s="38" t="inlineStr">
        <is>
          <t>https://cdn.shopify.com/s/files/1/0936/8656/3183/files/PC000019.jpg?v=1764409461</t>
        </is>
      </c>
    </row>
    <row r="86" ht="15" customHeight="1" s="27">
      <c r="A86" s="26" t="inlineStr">
        <is>
          <t>EAR_PP382</t>
        </is>
      </c>
      <c r="B86" s="26" t="inlineStr">
        <is>
          <t>earring</t>
        </is>
      </c>
      <c r="C86" s="26" t="inlineStr">
        <is>
          <t>Earrings - Photo Print 382</t>
        </is>
      </c>
      <c r="D86" s="26" t="inlineStr">
        <is>
          <t>Photo Print ID: Photo Print 382</t>
        </is>
      </c>
      <c r="G86" s="35" t="n"/>
      <c r="H86" s="35" t="n"/>
      <c r="I86" s="35" t="n"/>
      <c r="J86" s="36">
        <f>IF(AND(G86&lt;&gt;"",I86&lt;&gt;""),G86-I86,"")</f>
        <v/>
      </c>
      <c r="K86" s="37">
        <f>IF(AND(G86&lt;&gt;"",G86&lt;&gt;0),J86/G86,"")</f>
        <v/>
      </c>
      <c r="L86" s="26" t="inlineStr">
        <is>
          <t>Photo Print: Photo Print 382</t>
        </is>
      </c>
      <c r="M86" s="38" t="inlineStr">
        <is>
          <t>https://cdn.shopify.com/s/files/1/0936/8656/3183/files/PC000026.jpg?v=1764409209</t>
        </is>
      </c>
    </row>
    <row r="87" ht="15" customHeight="1" s="27">
      <c r="A87" s="26" t="inlineStr">
        <is>
          <t>EAR_PP396</t>
        </is>
      </c>
      <c r="B87" s="26" t="inlineStr">
        <is>
          <t>earring</t>
        </is>
      </c>
      <c r="C87" s="26" t="inlineStr">
        <is>
          <t>Earrings - Photo Print 396</t>
        </is>
      </c>
      <c r="D87" s="26" t="inlineStr">
        <is>
          <t>Photo Print ID: Photo Print 396</t>
        </is>
      </c>
      <c r="G87" s="35" t="n"/>
      <c r="H87" s="35" t="n"/>
      <c r="I87" s="35" t="n"/>
      <c r="J87" s="36">
        <f>IF(AND(G87&lt;&gt;"",I87&lt;&gt;""),G87-I87,"")</f>
        <v/>
      </c>
      <c r="K87" s="37">
        <f>IF(AND(G87&lt;&gt;"",G87&lt;&gt;0),J87/G87,"")</f>
        <v/>
      </c>
      <c r="L87" s="26" t="inlineStr">
        <is>
          <t>Photo Print: Photo Print 396</t>
        </is>
      </c>
      <c r="M87" s="38" t="inlineStr">
        <is>
          <t>https://cdn.shopify.com/s/files/1/0936/8656/3183/files/PC000021.jpg?v=1764408401</t>
        </is>
      </c>
    </row>
    <row r="88" ht="15" customHeight="1" s="27">
      <c r="A88" s="26" t="inlineStr">
        <is>
          <t>PIID000013</t>
        </is>
      </c>
      <c r="B88" s="26" t="inlineStr">
        <is>
          <t>earring</t>
        </is>
      </c>
      <c r="C88" s="26" t="inlineStr">
        <is>
          <t>.5 CTW</t>
        </is>
      </c>
      <c r="D88" s="26" t="inlineStr">
        <is>
          <t>925 .5CTW stud earrings</t>
        </is>
      </c>
      <c r="E88" s="26" t="inlineStr">
        <is>
          <t>925 Sterling Silver</t>
        </is>
      </c>
      <c r="F88" s="26" t="inlineStr">
        <is>
          <t>na</t>
        </is>
      </c>
      <c r="G88" s="35" t="n"/>
      <c r="H88" s="35" t="n"/>
      <c r="I88" s="35" t="n">
        <v>0</v>
      </c>
      <c r="J88" s="36">
        <f>IF(AND(G88&lt;&gt;"",I88&lt;&gt;""),G88-I88,"")</f>
        <v/>
      </c>
      <c r="K88" s="37">
        <f>IF(AND(G88&lt;&gt;"",G88&lt;&gt;0),J88/G88,"")</f>
        <v/>
      </c>
    </row>
    <row r="89" ht="15" customHeight="1" s="27">
      <c r="A89" s="26" t="inlineStr">
        <is>
          <t>PIID000014</t>
        </is>
      </c>
      <c r="B89" s="26" t="inlineStr">
        <is>
          <t>earring</t>
        </is>
      </c>
      <c r="C89" s="26" t="inlineStr">
        <is>
          <t>2 CTW</t>
        </is>
      </c>
      <c r="D89" s="26" t="inlineStr">
        <is>
          <t>Stainless Steal 2 CTW cubic zirconia stud</t>
        </is>
      </c>
      <c r="F89" s="26" t="inlineStr">
        <is>
          <t>na</t>
        </is>
      </c>
      <c r="G89" s="35" t="n"/>
      <c r="H89" s="35" t="n"/>
      <c r="I89" s="35" t="n">
        <v>0</v>
      </c>
      <c r="J89" s="36">
        <f>IF(AND(G89&lt;&gt;"",I89&lt;&gt;""),G89-I89,"")</f>
        <v/>
      </c>
      <c r="K89" s="37">
        <f>IF(AND(G89&lt;&gt;"",G89&lt;&gt;0),J89/G89,"")</f>
        <v/>
      </c>
    </row>
    <row r="90" ht="15" customHeight="1" s="27">
      <c r="A90" s="26" t="inlineStr">
        <is>
          <t>PIID000015</t>
        </is>
      </c>
      <c r="B90" s="26" t="inlineStr">
        <is>
          <t>earring</t>
        </is>
      </c>
      <c r="C90" s="26" t="inlineStr">
        <is>
          <t>1.5 CTW Moissanite</t>
        </is>
      </c>
      <c r="D90" s="26" t="inlineStr">
        <is>
          <t>14k white gold over 925 1.5 CTW moissanite flower stud</t>
        </is>
      </c>
      <c r="E90" s="26" t="inlineStr">
        <is>
          <t>925 Sterling Silver</t>
        </is>
      </c>
      <c r="F90" s="26" t="inlineStr">
        <is>
          <t>na</t>
        </is>
      </c>
      <c r="G90" s="35" t="n"/>
      <c r="H90" s="35" t="n"/>
      <c r="I90" s="35" t="n">
        <v>25</v>
      </c>
      <c r="J90" s="36">
        <f>IF(AND(G90&lt;&gt;"",I90&lt;&gt;""),G90-I90,"")</f>
        <v/>
      </c>
      <c r="K90" s="37">
        <f>IF(AND(G90&lt;&gt;"",G90&lt;&gt;0),J90/G90,"")</f>
        <v/>
      </c>
    </row>
    <row r="91" ht="15" customHeight="1" s="27">
      <c r="A91" s="26" t="inlineStr">
        <is>
          <t>PIID000023</t>
        </is>
      </c>
      <c r="B91" s="26" t="inlineStr">
        <is>
          <t>earring</t>
        </is>
      </c>
      <c r="C91" s="26" t="inlineStr">
        <is>
          <t>1/4 CTW Diamond Stud</t>
        </is>
      </c>
      <c r="D91" s="26" t="inlineStr">
        <is>
          <t>1/4 CTW 14k white gold Diamond Stud</t>
        </is>
      </c>
      <c r="E91" s="26" t="inlineStr">
        <is>
          <t>Gold</t>
        </is>
      </c>
      <c r="F91" s="26" t="inlineStr">
        <is>
          <t>na</t>
        </is>
      </c>
      <c r="G91" s="35" t="n"/>
      <c r="H91" s="35" t="n">
        <v>125</v>
      </c>
      <c r="I91" s="35" t="n">
        <v>0</v>
      </c>
      <c r="J91" s="36">
        <f>IF(AND(G91&lt;&gt;"",I91&lt;&gt;""),G91-I91,"")</f>
        <v/>
      </c>
      <c r="K91" s="37">
        <f>IF(AND(G91&lt;&gt;"",G91&lt;&gt;0),J91/G91,"")</f>
        <v/>
      </c>
    </row>
    <row r="92" ht="15" customHeight="1" s="27">
      <c r="A92" s="26" t="inlineStr">
        <is>
          <t>PIID000024</t>
        </is>
      </c>
      <c r="B92" s="26" t="inlineStr">
        <is>
          <t>earring</t>
        </is>
      </c>
      <c r="C92" s="26" t="inlineStr">
        <is>
          <t>1/2 CTW Diamond Stud</t>
        </is>
      </c>
      <c r="D92" s="26" t="inlineStr">
        <is>
          <t>1/2 CTW 14k White gold Diamond Stud</t>
        </is>
      </c>
      <c r="E92" s="26" t="inlineStr">
        <is>
          <t>Gold</t>
        </is>
      </c>
      <c r="F92" s="26" t="inlineStr">
        <is>
          <t>na</t>
        </is>
      </c>
      <c r="G92" s="35" t="n"/>
      <c r="H92" s="35" t="n">
        <v>350</v>
      </c>
      <c r="I92" s="35" t="n">
        <v>0</v>
      </c>
      <c r="J92" s="36">
        <f>IF(AND(G92&lt;&gt;"",I92&lt;&gt;""),G92-I92,"")</f>
        <v/>
      </c>
      <c r="K92" s="37">
        <f>IF(AND(G92&lt;&gt;"",G92&lt;&gt;0),J92/G92,"")</f>
        <v/>
      </c>
    </row>
    <row r="93" ht="15" customHeight="1" s="27">
      <c r="A93" s="26" t="inlineStr">
        <is>
          <t>PIID000025</t>
        </is>
      </c>
      <c r="B93" s="26" t="inlineStr">
        <is>
          <t>earring</t>
        </is>
      </c>
      <c r="C93" s="26" t="inlineStr">
        <is>
          <t>Baguette solitaire emerald and natural diamond hoop earringws 14k yellow gold</t>
        </is>
      </c>
      <c r="D93" s="26" t="inlineStr">
        <is>
          <t>14k yellow gold natural diamond hoop emerald drop</t>
        </is>
      </c>
      <c r="E93" s="26" t="inlineStr">
        <is>
          <t>Gold</t>
        </is>
      </c>
      <c r="F93" s="26" t="inlineStr">
        <is>
          <t>na</t>
        </is>
      </c>
      <c r="G93" s="35" t="n"/>
      <c r="H93" s="35" t="n">
        <v>780</v>
      </c>
      <c r="I93" s="35" t="n">
        <v>25</v>
      </c>
      <c r="J93" s="36">
        <f>IF(AND(G93&lt;&gt;"",I93&lt;&gt;""),G93-I93,"")</f>
        <v/>
      </c>
      <c r="K93" s="37">
        <f>IF(AND(G93&lt;&gt;"",G93&lt;&gt;0),J93/G93,"")</f>
        <v/>
      </c>
    </row>
    <row r="94" ht="15" customHeight="1" s="27">
      <c r="A94" s="26" t="inlineStr">
        <is>
          <t>PIID000030</t>
        </is>
      </c>
      <c r="B94" s="26" t="inlineStr">
        <is>
          <t>earring</t>
        </is>
      </c>
      <c r="C94" s="26" t="inlineStr">
        <is>
          <t>vintage 925 mexico blue topaz with opal or moonstone teardrop dangle</t>
        </is>
      </c>
      <c r="D94" s="26" t="inlineStr">
        <is>
          <t>Mexico 925, Blue topaz and moonstone or opal</t>
        </is>
      </c>
      <c r="E94" s="26" t="inlineStr">
        <is>
          <t>925 Sterling Silver</t>
        </is>
      </c>
      <c r="F94" s="26" t="inlineStr">
        <is>
          <t>na</t>
        </is>
      </c>
      <c r="G94" s="35" t="n"/>
      <c r="H94" s="35" t="n">
        <v>260</v>
      </c>
      <c r="I94" s="35" t="n">
        <v>1.5</v>
      </c>
      <c r="J94" s="36">
        <f>IF(AND(G94&lt;&gt;"",I94&lt;&gt;""),G94-I94,"")</f>
        <v/>
      </c>
      <c r="K94" s="37">
        <f>IF(AND(G94&lt;&gt;"",G94&lt;&gt;0),J94/G94,"")</f>
        <v/>
      </c>
    </row>
    <row r="95" ht="15" customHeight="1" s="27">
      <c r="A95" s="26" t="inlineStr">
        <is>
          <t>NECK_10K_FILLED_YELLOW_GO</t>
        </is>
      </c>
      <c r="B95" s="26" t="inlineStr">
        <is>
          <t>necklace</t>
        </is>
      </c>
      <c r="C95" s="26" t="inlineStr">
        <is>
          <t>10k filled yellow gold rolled chain necklace</t>
        </is>
      </c>
      <c r="D95" s="26" t="inlineStr">
        <is>
          <t>Identifier: 10k filled yellow gold rolled chain necklace</t>
        </is>
      </c>
      <c r="G95" s="35" t="n"/>
      <c r="H95" s="35" t="n"/>
      <c r="I95" s="35" t="n"/>
      <c r="J95" s="36">
        <f>IF(AND(G95&lt;&gt;"",I95&lt;&gt;""),G95-I95,"")</f>
        <v/>
      </c>
      <c r="K95" s="37">
        <f>IF(AND(G95&lt;&gt;"",G95&lt;&gt;0),J95/G95,"")</f>
        <v/>
      </c>
      <c r="L95" s="26" t="inlineStr">
        <is>
          <t>10k filled yellow gold rolled chain necklace</t>
        </is>
      </c>
      <c r="M95" s="38" t="inlineStr">
        <is>
          <t>https://cdn.shopify.com/s/files/1/0936/8656/3183/files/2025-08-13-15-11-39-175.jpg?v=1764403527</t>
        </is>
      </c>
    </row>
    <row r="96" ht="15" customHeight="1" s="27">
      <c r="A96" s="26" t="inlineStr">
        <is>
          <t>NECK_10K_GOLD_FILLED_12_N</t>
        </is>
      </c>
      <c r="B96" s="26" t="inlineStr">
        <is>
          <t>necklace</t>
        </is>
      </c>
      <c r="C96" s="26" t="inlineStr">
        <is>
          <t>10k gold filled, 12" necklace</t>
        </is>
      </c>
      <c r="D96" s="26" t="inlineStr">
        <is>
          <t>Identifier: 10k gold filled, 12" necklace</t>
        </is>
      </c>
      <c r="G96" s="35" t="n"/>
      <c r="H96" s="35" t="n"/>
      <c r="I96" s="35" t="n"/>
      <c r="J96" s="36">
        <f>IF(AND(G96&lt;&gt;"",I96&lt;&gt;""),G96-I96,"")</f>
        <v/>
      </c>
      <c r="K96" s="37">
        <f>IF(AND(G96&lt;&gt;"",G96&lt;&gt;0),J96/G96,"")</f>
        <v/>
      </c>
      <c r="L96" s="26" t="inlineStr">
        <is>
          <t>10k gold filled, 12" necklace</t>
        </is>
      </c>
      <c r="M96" s="38" t="inlineStr">
        <is>
          <t>https://cdn.shopify.com/s/files/1/0936/8656/3183/files/2025-08-13-15-12-03-573_1a0c48e4-f63d-46e3-babe-f90043d3ac97.jpg?v=1764403911</t>
        </is>
      </c>
    </row>
    <row r="97" ht="15" customHeight="1" s="27">
      <c r="A97" s="26" t="inlineStr">
        <is>
          <t>NECK_16_GOLD_DIAMOND_CUT_</t>
        </is>
      </c>
      <c r="B97" s="26" t="inlineStr">
        <is>
          <t>necklace</t>
        </is>
      </c>
      <c r="C97" s="26" t="inlineStr">
        <is>
          <t>16" gold diamond cut chain</t>
        </is>
      </c>
      <c r="D97" s="26" t="inlineStr">
        <is>
          <t>Identifier: 16" gold diamond cut chain</t>
        </is>
      </c>
      <c r="G97" s="35" t="n"/>
      <c r="H97" s="35" t="n"/>
      <c r="I97" s="35" t="n"/>
      <c r="J97" s="36">
        <f>IF(AND(G97&lt;&gt;"",I97&lt;&gt;""),G97-I97,"")</f>
        <v/>
      </c>
      <c r="K97" s="37">
        <f>IF(AND(G97&lt;&gt;"",G97&lt;&gt;0),J97/G97,"")</f>
        <v/>
      </c>
      <c r="L97" s="26" t="inlineStr">
        <is>
          <t>16" gold diamond cut chain</t>
        </is>
      </c>
      <c r="M97" s="38" t="inlineStr">
        <is>
          <t>https://cdn.shopify.com/s/files/1/0936/8656/3183/files/2025-08-13-15-12-34-200.jpg?v=1764404329</t>
        </is>
      </c>
    </row>
    <row r="98" ht="15" customHeight="1" s="27">
      <c r="A98" s="26" t="inlineStr">
        <is>
          <t>NECK_ARTISAN_MURANO_GLASS</t>
        </is>
      </c>
      <c r="B98" s="26" t="inlineStr">
        <is>
          <t>necklace</t>
        </is>
      </c>
      <c r="C98" s="26" t="inlineStr">
        <is>
          <t>Artisan-Murano Glass</t>
        </is>
      </c>
      <c r="D98" s="26" t="inlineStr">
        <is>
          <t>Identifier: Artisan-Murano Glass</t>
        </is>
      </c>
      <c r="G98" s="35" t="n"/>
      <c r="H98" s="35" t="n"/>
      <c r="I98" s="35" t="n"/>
      <c r="J98" s="36">
        <f>IF(AND(G98&lt;&gt;"",I98&lt;&gt;""),G98-I98,"")</f>
        <v/>
      </c>
      <c r="K98" s="37">
        <f>IF(AND(G98&lt;&gt;"",G98&lt;&gt;0),J98/G98,"")</f>
        <v/>
      </c>
      <c r="L98" s="26" t="inlineStr">
        <is>
          <t>Artisan-Murano Glass</t>
        </is>
      </c>
      <c r="M98" s="38" t="inlineStr">
        <is>
          <t>https://cdn.shopify.com/s/files/1/0936/8656/3183/files/2025-08-13-15-13-23-968.jpg?v=1763457333</t>
        </is>
      </c>
    </row>
    <row r="99" ht="15" customHeight="1" s="27">
      <c r="A99" s="26" t="inlineStr">
        <is>
          <t>NECK_BOHO_1000013</t>
        </is>
      </c>
      <c r="B99" s="26" t="inlineStr">
        <is>
          <t>necklace</t>
        </is>
      </c>
      <c r="C99" s="26" t="inlineStr">
        <is>
          <t>Boho-1000013</t>
        </is>
      </c>
      <c r="D99" s="26" t="inlineStr">
        <is>
          <t>Identifier: Boho-1000013</t>
        </is>
      </c>
      <c r="G99" s="35" t="n"/>
      <c r="H99" s="35" t="n"/>
      <c r="I99" s="35" t="n"/>
      <c r="J99" s="36">
        <f>IF(AND(G99&lt;&gt;"",I99&lt;&gt;""),G99-I99,"")</f>
        <v/>
      </c>
      <c r="K99" s="37">
        <f>IF(AND(G99&lt;&gt;"",G99&lt;&gt;0),J99/G99,"")</f>
        <v/>
      </c>
      <c r="L99" s="26" t="inlineStr">
        <is>
          <t>Boho-1000013</t>
        </is>
      </c>
      <c r="M99" s="38" t="inlineStr">
        <is>
          <t>https://cdn.shopify.com/s/files/1/0936/8656/3183/files/PC000031.jpg?v=1763455154</t>
        </is>
      </c>
    </row>
    <row r="100" ht="15" customHeight="1" s="27">
      <c r="A100" s="26" t="inlineStr">
        <is>
          <t>NECK_FASHION_1000016</t>
        </is>
      </c>
      <c r="B100" s="26" t="inlineStr">
        <is>
          <t>necklace</t>
        </is>
      </c>
      <c r="C100" s="26" t="inlineStr">
        <is>
          <t>fashion-1000016</t>
        </is>
      </c>
      <c r="D100" s="26" t="inlineStr">
        <is>
          <t>Identifier: fashion-1000016</t>
        </is>
      </c>
      <c r="G100" s="35" t="n"/>
      <c r="H100" s="35" t="n"/>
      <c r="I100" s="35" t="n"/>
      <c r="J100" s="36">
        <f>IF(AND(G100&lt;&gt;"",I100&lt;&gt;""),G100-I100,"")</f>
        <v/>
      </c>
      <c r="K100" s="37">
        <f>IF(AND(G100&lt;&gt;"",G100&lt;&gt;0),J100/G100,"")</f>
        <v/>
      </c>
      <c r="L100" s="26" t="inlineStr">
        <is>
          <t>fashion-1000016</t>
        </is>
      </c>
      <c r="M100" s="38" t="inlineStr">
        <is>
          <t>https://cdn.shopify.com/s/files/1/0936/8656/3183/files/PC000030.jpg?v=1763455352</t>
        </is>
      </c>
    </row>
    <row r="101" ht="15" customHeight="1" s="27">
      <c r="A101" s="26" t="inlineStr">
        <is>
          <t>NECK_FASHION___1000014</t>
        </is>
      </c>
      <c r="B101" s="26" t="inlineStr">
        <is>
          <t>necklace</t>
        </is>
      </c>
      <c r="C101" s="26" t="inlineStr">
        <is>
          <t>fashion - 1000014</t>
        </is>
      </c>
      <c r="D101" s="26" t="inlineStr">
        <is>
          <t>Identifier: fashion - 1000014</t>
        </is>
      </c>
      <c r="G101" s="35" t="n"/>
      <c r="H101" s="35" t="n"/>
      <c r="I101" s="35" t="n"/>
      <c r="J101" s="36">
        <f>IF(AND(G101&lt;&gt;"",I101&lt;&gt;""),G101-I101,"")</f>
        <v/>
      </c>
      <c r="K101" s="37">
        <f>IF(AND(G101&lt;&gt;"",G101&lt;&gt;0),J101/G101,"")</f>
        <v/>
      </c>
      <c r="L101" s="26" t="inlineStr">
        <is>
          <t>fashion - 1000014</t>
        </is>
      </c>
      <c r="M101" s="38" t="inlineStr">
        <is>
          <t>https://cdn.shopify.com/s/files/1/0936/8656/3183/files/2025-08-13-15-14-58-252.jpg?v=1763455281</t>
        </is>
      </c>
    </row>
    <row r="102" ht="15" customHeight="1" s="27">
      <c r="A102" s="26" t="inlineStr">
        <is>
          <t>NECK_N1</t>
        </is>
      </c>
      <c r="B102" s="26" t="inlineStr">
        <is>
          <t>necklace</t>
        </is>
      </c>
      <c r="C102" s="26" t="inlineStr">
        <is>
          <t>N1</t>
        </is>
      </c>
      <c r="D102" s="26" t="inlineStr">
        <is>
          <t>Identifier: N1</t>
        </is>
      </c>
      <c r="G102" s="35" t="n"/>
      <c r="H102" s="35" t="n"/>
      <c r="I102" s="35" t="n"/>
      <c r="J102" s="36">
        <f>IF(AND(G102&lt;&gt;"",I102&lt;&gt;""),G102-I102,"")</f>
        <v/>
      </c>
      <c r="K102" s="37">
        <f>IF(AND(G102&lt;&gt;"",G102&lt;&gt;0),J102/G102,"")</f>
        <v/>
      </c>
      <c r="L102" s="26" t="inlineStr">
        <is>
          <t>N1</t>
        </is>
      </c>
      <c r="M102" s="38" t="inlineStr">
        <is>
          <t>https://cdn.shopify.com/s/files/1/0936/8656/3183/files/necklace.jpg?v=1764260282</t>
        </is>
      </c>
    </row>
    <row r="103" ht="15" customHeight="1" s="27">
      <c r="A103" s="26" t="inlineStr">
        <is>
          <t>NECK_N10</t>
        </is>
      </c>
      <c r="B103" s="26" t="inlineStr">
        <is>
          <t>necklace</t>
        </is>
      </c>
      <c r="C103" s="26" t="inlineStr">
        <is>
          <t>Necklace N10</t>
        </is>
      </c>
      <c r="D103" s="26" t="inlineStr">
        <is>
          <t>Identifier: n10</t>
        </is>
      </c>
      <c r="G103" s="35" t="n"/>
      <c r="H103" s="35" t="n"/>
      <c r="I103" s="35" t="n"/>
      <c r="J103" s="36">
        <f>IF(AND(G103&lt;&gt;"",I103&lt;&gt;""),G103-I103,"")</f>
        <v/>
      </c>
      <c r="K103" s="37">
        <f>IF(AND(G103&lt;&gt;"",G103&lt;&gt;0),J103/G103,"")</f>
        <v/>
      </c>
      <c r="L103" s="26" t="inlineStr">
        <is>
          <t>n10</t>
        </is>
      </c>
      <c r="M103" s="38" t="inlineStr">
        <is>
          <t>https://cdn.shopify.com/s/files/1/0936/8656/3183/files/necklace11.jpg?v=1764260488</t>
        </is>
      </c>
    </row>
    <row r="104" ht="15" customHeight="1" s="27">
      <c r="A104" s="26" t="inlineStr">
        <is>
          <t>NECK_N11</t>
        </is>
      </c>
      <c r="B104" s="26" t="inlineStr">
        <is>
          <t>necklace</t>
        </is>
      </c>
      <c r="C104" s="26" t="inlineStr">
        <is>
          <t>Necklace N11</t>
        </is>
      </c>
      <c r="D104" s="26" t="inlineStr">
        <is>
          <t>Identifier: n11</t>
        </is>
      </c>
      <c r="G104" s="35" t="n"/>
      <c r="H104" s="35" t="n"/>
      <c r="I104" s="35" t="n"/>
      <c r="J104" s="36">
        <f>IF(AND(G104&lt;&gt;"",I104&lt;&gt;""),G104-I104,"")</f>
        <v/>
      </c>
      <c r="K104" s="37">
        <f>IF(AND(G104&lt;&gt;"",G104&lt;&gt;0),J104/G104,"")</f>
        <v/>
      </c>
      <c r="L104" s="26" t="inlineStr">
        <is>
          <t>n11</t>
        </is>
      </c>
      <c r="M104" s="38" t="inlineStr">
        <is>
          <t>https://cdn.shopify.com/s/files/1/0936/8656/3183/files/2025-08-13-15-22-23-452.jpg?v=1762900134</t>
        </is>
      </c>
    </row>
    <row r="105" ht="15" customHeight="1" s="27">
      <c r="A105" s="26" t="inlineStr">
        <is>
          <t>NECK_N13</t>
        </is>
      </c>
      <c r="B105" s="26" t="inlineStr">
        <is>
          <t>necklace</t>
        </is>
      </c>
      <c r="C105" s="26" t="inlineStr">
        <is>
          <t>Necklace N13</t>
        </is>
      </c>
      <c r="D105" s="26" t="inlineStr">
        <is>
          <t>Identifier: n13</t>
        </is>
      </c>
      <c r="G105" s="35" t="n"/>
      <c r="H105" s="35" t="n"/>
      <c r="I105" s="35" t="n"/>
      <c r="J105" s="36">
        <f>IF(AND(G105&lt;&gt;"",I105&lt;&gt;""),G105-I105,"")</f>
        <v/>
      </c>
      <c r="K105" s="37">
        <f>IF(AND(G105&lt;&gt;"",G105&lt;&gt;0),J105/G105,"")</f>
        <v/>
      </c>
      <c r="L105" s="26" t="inlineStr">
        <is>
          <t>n13</t>
        </is>
      </c>
      <c r="M105" s="38" t="inlineStr">
        <is>
          <t>https://cdn.shopify.com/s/files/1/0936/8656/3183/files/2025-08-13-15-30-17-387.jpg?v=1764203257</t>
        </is>
      </c>
    </row>
    <row r="106" ht="15" customHeight="1" s="27">
      <c r="A106" s="26" t="inlineStr">
        <is>
          <t>NECK_N2</t>
        </is>
      </c>
      <c r="B106" s="26" t="inlineStr">
        <is>
          <t>necklace</t>
        </is>
      </c>
      <c r="C106" s="26" t="inlineStr">
        <is>
          <t>Necklace N2</t>
        </is>
      </c>
      <c r="D106" s="26" t="inlineStr">
        <is>
          <t>Identifier: n2</t>
        </is>
      </c>
      <c r="G106" s="35" t="n"/>
      <c r="H106" s="35" t="n"/>
      <c r="I106" s="35" t="n"/>
      <c r="J106" s="36">
        <f>IF(AND(G106&lt;&gt;"",I106&lt;&gt;""),G106-I106,"")</f>
        <v/>
      </c>
      <c r="K106" s="37">
        <f>IF(AND(G106&lt;&gt;"",G106&lt;&gt;0),J106/G106,"")</f>
        <v/>
      </c>
      <c r="L106" s="26" t="inlineStr">
        <is>
          <t>n2</t>
        </is>
      </c>
      <c r="M106" s="38" t="inlineStr">
        <is>
          <t>https://cdn.shopify.com/s/files/1/0936/8656/3183/files/necklace2.jpg?v=1764260317</t>
        </is>
      </c>
    </row>
    <row r="107" ht="15" customHeight="1" s="27">
      <c r="A107" s="26" t="inlineStr">
        <is>
          <t>NECK_N3</t>
        </is>
      </c>
      <c r="B107" s="26" t="inlineStr">
        <is>
          <t>necklace</t>
        </is>
      </c>
      <c r="C107" s="26" t="inlineStr">
        <is>
          <t>Necklace N3</t>
        </is>
      </c>
      <c r="D107" s="26" t="inlineStr">
        <is>
          <t>Identifier: n3</t>
        </is>
      </c>
      <c r="G107" s="35" t="n"/>
      <c r="H107" s="35" t="n"/>
      <c r="I107" s="35" t="n"/>
      <c r="J107" s="36">
        <f>IF(AND(G107&lt;&gt;"",I107&lt;&gt;""),G107-I107,"")</f>
        <v/>
      </c>
      <c r="K107" s="37">
        <f>IF(AND(G107&lt;&gt;"",G107&lt;&gt;0),J107/G107,"")</f>
        <v/>
      </c>
      <c r="L107" s="26" t="inlineStr">
        <is>
          <t>n3</t>
        </is>
      </c>
      <c r="M107" s="38" t="inlineStr">
        <is>
          <t>https://cdn.shopify.com/s/files/1/0936/8656/3183/files/necklace3.jpg?v=1764260341</t>
        </is>
      </c>
    </row>
    <row r="108" ht="15" customHeight="1" s="27">
      <c r="A108" s="26" t="inlineStr">
        <is>
          <t>NECK_N4</t>
        </is>
      </c>
      <c r="B108" s="26" t="inlineStr">
        <is>
          <t>necklace</t>
        </is>
      </c>
      <c r="C108" s="26" t="inlineStr">
        <is>
          <t>Necklace N4</t>
        </is>
      </c>
      <c r="D108" s="26" t="inlineStr">
        <is>
          <t>Identifier: n4</t>
        </is>
      </c>
      <c r="G108" s="35" t="n"/>
      <c r="H108" s="35" t="n"/>
      <c r="I108" s="35" t="n"/>
      <c r="J108" s="36">
        <f>IF(AND(G108&lt;&gt;"",I108&lt;&gt;""),G108-I108,"")</f>
        <v/>
      </c>
      <c r="K108" s="37">
        <f>IF(AND(G108&lt;&gt;"",G108&lt;&gt;0),J108/G108,"")</f>
        <v/>
      </c>
      <c r="L108" s="26" t="inlineStr">
        <is>
          <t>n4</t>
        </is>
      </c>
      <c r="M108" s="38" t="inlineStr">
        <is>
          <t>https://cdn.shopify.com/s/files/1/0936/8656/3183/files/necklace5.jpg?v=1764260363</t>
        </is>
      </c>
    </row>
    <row r="109" ht="15" customHeight="1" s="27">
      <c r="A109" s="26" t="inlineStr">
        <is>
          <t>NECK_N6</t>
        </is>
      </c>
      <c r="B109" s="26" t="inlineStr">
        <is>
          <t>necklace</t>
        </is>
      </c>
      <c r="C109" s="26" t="inlineStr">
        <is>
          <t>Necklace N6</t>
        </is>
      </c>
      <c r="D109" s="26" t="inlineStr">
        <is>
          <t>Identifier: n6</t>
        </is>
      </c>
      <c r="G109" s="35" t="n"/>
      <c r="H109" s="35" t="n"/>
      <c r="I109" s="35" t="n"/>
      <c r="J109" s="36">
        <f>IF(AND(G109&lt;&gt;"",I109&lt;&gt;""),G109-I109,"")</f>
        <v/>
      </c>
      <c r="K109" s="37">
        <f>IF(AND(G109&lt;&gt;"",G109&lt;&gt;0),J109/G109,"")</f>
        <v/>
      </c>
      <c r="L109" s="26" t="inlineStr">
        <is>
          <t>n6</t>
        </is>
      </c>
      <c r="M109" s="38" t="inlineStr">
        <is>
          <t>https://cdn.shopify.com/s/files/1/0936/8656/3183/files/necklace6.jpg?v=1764260388</t>
        </is>
      </c>
    </row>
    <row r="110" ht="15" customHeight="1" s="27">
      <c r="A110" s="26" t="inlineStr">
        <is>
          <t>NECK_N7</t>
        </is>
      </c>
      <c r="B110" s="26" t="inlineStr">
        <is>
          <t>necklace</t>
        </is>
      </c>
      <c r="C110" s="26" t="inlineStr">
        <is>
          <t>Necklace N7</t>
        </is>
      </c>
      <c r="D110" s="26" t="inlineStr">
        <is>
          <t>Identifier: n7</t>
        </is>
      </c>
      <c r="G110" s="35" t="n"/>
      <c r="H110" s="35" t="n"/>
      <c r="I110" s="35" t="n"/>
      <c r="J110" s="36">
        <f>IF(AND(G110&lt;&gt;"",I110&lt;&gt;""),G110-I110,"")</f>
        <v/>
      </c>
      <c r="K110" s="37">
        <f>IF(AND(G110&lt;&gt;"",G110&lt;&gt;0),J110/G110,"")</f>
        <v/>
      </c>
      <c r="L110" s="26" t="inlineStr">
        <is>
          <t>n7</t>
        </is>
      </c>
      <c r="M110" s="38" t="inlineStr">
        <is>
          <t>https://cdn.shopify.com/s/files/1/0936/8656/3183/files/necklace7.jpg?v=1764260404</t>
        </is>
      </c>
    </row>
    <row r="111" ht="15" customHeight="1" s="27">
      <c r="A111" s="26" t="inlineStr">
        <is>
          <t>NECK_N8</t>
        </is>
      </c>
      <c r="B111" s="26" t="inlineStr">
        <is>
          <t>necklace</t>
        </is>
      </c>
      <c r="C111" s="26" t="inlineStr">
        <is>
          <t>Necklace N8</t>
        </is>
      </c>
      <c r="D111" s="26" t="inlineStr">
        <is>
          <t>Identifier: n8</t>
        </is>
      </c>
      <c r="G111" s="35" t="n"/>
      <c r="H111" s="35" t="n"/>
      <c r="I111" s="35" t="n"/>
      <c r="J111" s="36">
        <f>IF(AND(G111&lt;&gt;"",I111&lt;&gt;""),G111-I111,"")</f>
        <v/>
      </c>
      <c r="K111" s="37">
        <f>IF(AND(G111&lt;&gt;"",G111&lt;&gt;0),J111/G111,"")</f>
        <v/>
      </c>
      <c r="L111" s="26" t="inlineStr">
        <is>
          <t>n8</t>
        </is>
      </c>
      <c r="M111" s="38" t="inlineStr">
        <is>
          <t>https://cdn.shopify.com/s/files/1/0936/8656/3183/files/necklace8.jpg?v=1764260430</t>
        </is>
      </c>
    </row>
    <row r="112" ht="15" customHeight="1" s="27">
      <c r="A112" s="26" t="inlineStr">
        <is>
          <t>NECK_N9</t>
        </is>
      </c>
      <c r="B112" s="26" t="inlineStr">
        <is>
          <t>necklace</t>
        </is>
      </c>
      <c r="C112" s="26" t="inlineStr">
        <is>
          <t>Necklace N9</t>
        </is>
      </c>
      <c r="D112" s="26" t="inlineStr">
        <is>
          <t>Identifier: n9 (2)</t>
        </is>
      </c>
      <c r="G112" s="35" t="n"/>
      <c r="H112" s="35" t="n"/>
      <c r="I112" s="35" t="n"/>
      <c r="J112" s="36">
        <f>IF(AND(G112&lt;&gt;"",I112&lt;&gt;""),G112-I112,"")</f>
        <v/>
      </c>
      <c r="K112" s="37">
        <f>IF(AND(G112&lt;&gt;"",G112&lt;&gt;0),J112/G112,"")</f>
        <v/>
      </c>
      <c r="L112" s="26" t="inlineStr">
        <is>
          <t>n9 (2)</t>
        </is>
      </c>
      <c r="M112" s="38" t="inlineStr">
        <is>
          <t>https://cdn.shopify.com/s/files/1/0936/8656/3183/files/necklace10.jpg?v=1764405246</t>
        </is>
      </c>
    </row>
    <row r="113" ht="15" customHeight="1" s="27">
      <c r="A113" s="26" t="inlineStr">
        <is>
          <t>NECK_PP398</t>
        </is>
      </c>
      <c r="B113" s="26" t="inlineStr">
        <is>
          <t>necklace</t>
        </is>
      </c>
      <c r="C113" s="26" t="inlineStr">
        <is>
          <t>Necklace - Photo Print 398</t>
        </is>
      </c>
      <c r="D113" s="26" t="inlineStr">
        <is>
          <t>Identifier: Photo Print 398</t>
        </is>
      </c>
      <c r="G113" s="35" t="n"/>
      <c r="H113" s="35" t="n"/>
      <c r="I113" s="35" t="n"/>
      <c r="J113" s="36">
        <f>IF(AND(G113&lt;&gt;"",I113&lt;&gt;""),G113-I113,"")</f>
        <v/>
      </c>
      <c r="K113" s="37">
        <f>IF(AND(G113&lt;&gt;"",G113&lt;&gt;0),J113/G113,"")</f>
        <v/>
      </c>
      <c r="L113" s="26" t="inlineStr">
        <is>
          <t>Photo Print 398</t>
        </is>
      </c>
      <c r="M113" s="38" t="inlineStr">
        <is>
          <t>https://cdn.shopify.com/s/files/1/0936/8656/3183/files/PC000020.jpg?v=1762922332</t>
        </is>
      </c>
    </row>
    <row r="114" ht="15" customHeight="1" s="27">
      <c r="A114" s="26" t="inlineStr">
        <is>
          <t>NECK_PP399</t>
        </is>
      </c>
      <c r="B114" s="26" t="inlineStr">
        <is>
          <t>necklace</t>
        </is>
      </c>
      <c r="C114" s="26" t="inlineStr">
        <is>
          <t>Necklace - Photo Print 399</t>
        </is>
      </c>
      <c r="D114" s="26" t="inlineStr">
        <is>
          <t>Identifier: Photo Print 399</t>
        </is>
      </c>
      <c r="G114" s="35" t="n"/>
      <c r="H114" s="35" t="n"/>
      <c r="I114" s="35" t="n"/>
      <c r="J114" s="36">
        <f>IF(AND(G114&lt;&gt;"",I114&lt;&gt;""),G114-I114,"")</f>
        <v/>
      </c>
      <c r="K114" s="37">
        <f>IF(AND(G114&lt;&gt;"",G114&lt;&gt;0),J114/G114,"")</f>
        <v/>
      </c>
      <c r="L114" s="26" t="inlineStr">
        <is>
          <t>Photo Print 399</t>
        </is>
      </c>
      <c r="M114" s="38" t="inlineStr">
        <is>
          <t>https://cdn.shopify.com/s/files/1/0936/8656/3183/files/PC000030.jpg?v=1763455352</t>
        </is>
      </c>
    </row>
    <row r="115" ht="15" customHeight="1" s="27">
      <c r="A115" s="26" t="inlineStr">
        <is>
          <t>NECK_PP400</t>
        </is>
      </c>
      <c r="B115" s="26" t="inlineStr">
        <is>
          <t>necklace</t>
        </is>
      </c>
      <c r="C115" s="26" t="inlineStr">
        <is>
          <t>Necklace - Photo Print 400</t>
        </is>
      </c>
      <c r="D115" s="26" t="inlineStr">
        <is>
          <t>Identifier: Photo Print 400</t>
        </is>
      </c>
      <c r="G115" s="35" t="n"/>
      <c r="H115" s="35" t="n"/>
      <c r="I115" s="35" t="n"/>
      <c r="J115" s="36">
        <f>IF(AND(G115&lt;&gt;"",I115&lt;&gt;""),G115-I115,"")</f>
        <v/>
      </c>
      <c r="K115" s="37">
        <f>IF(AND(G115&lt;&gt;"",G115&lt;&gt;0),J115/G115,"")</f>
        <v/>
      </c>
      <c r="L115" s="26" t="inlineStr">
        <is>
          <t>Photo Print 400</t>
        </is>
      </c>
      <c r="M115" s="38" t="inlineStr">
        <is>
          <t>https://cdn.shopify.com/s/files/1/0936/8656/3183/files/PC000035.jpg?v=1762923738</t>
        </is>
      </c>
    </row>
    <row r="116" ht="15" customHeight="1" s="27">
      <c r="A116" s="26" t="inlineStr">
        <is>
          <t>NECK_PP401</t>
        </is>
      </c>
      <c r="B116" s="26" t="inlineStr">
        <is>
          <t>necklace</t>
        </is>
      </c>
      <c r="C116" s="26" t="inlineStr">
        <is>
          <t>Necklace - Photo Print 401</t>
        </is>
      </c>
      <c r="D116" s="26" t="inlineStr">
        <is>
          <t>Identifier: Photo Print 401</t>
        </is>
      </c>
      <c r="G116" s="35" t="n"/>
      <c r="H116" s="35" t="n"/>
      <c r="I116" s="35" t="n"/>
      <c r="J116" s="36">
        <f>IF(AND(G116&lt;&gt;"",I116&lt;&gt;""),G116-I116,"")</f>
        <v/>
      </c>
      <c r="K116" s="37">
        <f>IF(AND(G116&lt;&gt;"",G116&lt;&gt;0),J116/G116,"")</f>
        <v/>
      </c>
      <c r="L116" s="26" t="inlineStr">
        <is>
          <t>Photo Print 401</t>
        </is>
      </c>
      <c r="M116" s="38" t="inlineStr">
        <is>
          <t>https://cdn.shopify.com/s/files/1/0936/8656/3183/files/2025-08-13-15-41-45-646.jpg?v=1762842255</t>
        </is>
      </c>
    </row>
    <row r="117" ht="15" customHeight="1" s="27">
      <c r="A117" s="26" t="inlineStr">
        <is>
          <t>NECK_PP402</t>
        </is>
      </c>
      <c r="B117" s="26" t="inlineStr">
        <is>
          <t>necklace</t>
        </is>
      </c>
      <c r="C117" s="26" t="inlineStr">
        <is>
          <t>Necklace - Photo Print 402</t>
        </is>
      </c>
      <c r="D117" s="26" t="inlineStr">
        <is>
          <t>Identifier: Photo Print 402</t>
        </is>
      </c>
      <c r="G117" s="35" t="n"/>
      <c r="H117" s="35" t="n"/>
      <c r="I117" s="35" t="n"/>
      <c r="J117" s="36">
        <f>IF(AND(G117&lt;&gt;"",I117&lt;&gt;""),G117-I117,"")</f>
        <v/>
      </c>
      <c r="K117" s="37">
        <f>IF(AND(G117&lt;&gt;"",G117&lt;&gt;0),J117/G117,"")</f>
        <v/>
      </c>
      <c r="L117" s="26" t="inlineStr">
        <is>
          <t>Photo Print 402</t>
        </is>
      </c>
      <c r="M117" s="38" t="inlineStr">
        <is>
          <t>https://cdn.shopify.com/s/files/1/0936/8656/3183/files/2025-08-13-15-22-52-771.jpg?v=1762842256</t>
        </is>
      </c>
    </row>
    <row r="118" ht="15" customHeight="1" s="27">
      <c r="A118" s="26" t="inlineStr">
        <is>
          <t>NECK_PP403</t>
        </is>
      </c>
      <c r="B118" s="26" t="inlineStr">
        <is>
          <t>necklace</t>
        </is>
      </c>
      <c r="C118" s="26" t="inlineStr">
        <is>
          <t>Necklace - Photo Print 403</t>
        </is>
      </c>
      <c r="D118" s="26" t="inlineStr">
        <is>
          <t>Identifier: Photo Print 403</t>
        </is>
      </c>
      <c r="G118" s="35" t="n"/>
      <c r="H118" s="35" t="n"/>
      <c r="I118" s="35" t="n"/>
      <c r="J118" s="36">
        <f>IF(AND(G118&lt;&gt;"",I118&lt;&gt;""),G118-I118,"")</f>
        <v/>
      </c>
      <c r="K118" s="37">
        <f>IF(AND(G118&lt;&gt;"",G118&lt;&gt;0),J118/G118,"")</f>
        <v/>
      </c>
      <c r="L118" s="26" t="inlineStr">
        <is>
          <t>Photo Print 403</t>
        </is>
      </c>
      <c r="M118" s="38" t="inlineStr">
        <is>
          <t>https://cdn.shopify.com/s/files/1/0936/8656/3183/files/2025-08-13-15-18-45-551.jpg?v=1762842257</t>
        </is>
      </c>
    </row>
    <row r="119" ht="15" customHeight="1" s="27">
      <c r="A119" s="26" t="inlineStr">
        <is>
          <t>NECK_PP405</t>
        </is>
      </c>
      <c r="B119" s="26" t="inlineStr">
        <is>
          <t>necklace</t>
        </is>
      </c>
      <c r="C119" s="26" t="inlineStr">
        <is>
          <t>Necklace - Photo Print 405</t>
        </is>
      </c>
      <c r="D119" s="26" t="inlineStr">
        <is>
          <t>Identifier: Photo Print 405</t>
        </is>
      </c>
      <c r="G119" s="35" t="n"/>
      <c r="H119" s="35" t="n"/>
      <c r="I119" s="35" t="n"/>
      <c r="J119" s="36">
        <f>IF(AND(G119&lt;&gt;"",I119&lt;&gt;""),G119-I119,"")</f>
        <v/>
      </c>
      <c r="K119" s="37">
        <f>IF(AND(G119&lt;&gt;"",G119&lt;&gt;0),J119/G119,"")</f>
        <v/>
      </c>
      <c r="L119" s="26" t="inlineStr">
        <is>
          <t>Photo Print 405</t>
        </is>
      </c>
      <c r="M119" s="38" t="inlineStr">
        <is>
          <t>https://cdn.shopify.com/s/files/1/0936/8656/3183/files/2025-08-13-15-43-39-219.jpg?v=1762842259</t>
        </is>
      </c>
    </row>
    <row r="120" ht="15" customHeight="1" s="27">
      <c r="A120" s="26" t="inlineStr">
        <is>
          <t>NECK_PP406</t>
        </is>
      </c>
      <c r="B120" s="26" t="inlineStr">
        <is>
          <t>necklace</t>
        </is>
      </c>
      <c r="C120" s="26" t="inlineStr">
        <is>
          <t>Necklace - Photo Print 406</t>
        </is>
      </c>
      <c r="D120" s="26" t="inlineStr">
        <is>
          <t>Identifier: Photo Print 406</t>
        </is>
      </c>
      <c r="G120" s="35" t="n"/>
      <c r="H120" s="35" t="n"/>
      <c r="I120" s="35" t="n"/>
      <c r="J120" s="36">
        <f>IF(AND(G120&lt;&gt;"",I120&lt;&gt;""),G120-I120,"")</f>
        <v/>
      </c>
      <c r="K120" s="37">
        <f>IF(AND(G120&lt;&gt;"",G120&lt;&gt;0),J120/G120,"")</f>
        <v/>
      </c>
      <c r="L120" s="26" t="inlineStr">
        <is>
          <t>Photo Print 406</t>
        </is>
      </c>
      <c r="M120" s="38" t="inlineStr">
        <is>
          <t>https://cdn.shopify.com/s/files/1/0936/8656/3183/files/2025-08-13-15-35-45-080.jpg?v=1764407862</t>
        </is>
      </c>
    </row>
    <row r="121" ht="15" customHeight="1" s="27">
      <c r="A121" s="26" t="inlineStr">
        <is>
          <t>NECK_PP407</t>
        </is>
      </c>
      <c r="B121" s="26" t="inlineStr">
        <is>
          <t>necklace</t>
        </is>
      </c>
      <c r="C121" s="26" t="inlineStr">
        <is>
          <t>Necklace - Photo Print 407</t>
        </is>
      </c>
      <c r="D121" s="26" t="inlineStr">
        <is>
          <t>Identifier: Photo Print 407</t>
        </is>
      </c>
      <c r="G121" s="35" t="n"/>
      <c r="H121" s="35" t="n"/>
      <c r="I121" s="35" t="n"/>
      <c r="J121" s="36">
        <f>IF(AND(G121&lt;&gt;"",I121&lt;&gt;""),G121-I121,"")</f>
        <v/>
      </c>
      <c r="K121" s="37">
        <f>IF(AND(G121&lt;&gt;"",G121&lt;&gt;0),J121/G121,"")</f>
        <v/>
      </c>
      <c r="L121" s="26" t="inlineStr">
        <is>
          <t>Photo Print 407</t>
        </is>
      </c>
      <c r="M121" s="38" t="inlineStr">
        <is>
          <t>https://cdn.shopify.com/s/files/1/0936/8656/3183/files/2025-08-13-15-40-38-719.jpg?v=1764405929</t>
        </is>
      </c>
    </row>
    <row r="122" ht="15" customHeight="1" s="27">
      <c r="A122" s="26" t="inlineStr">
        <is>
          <t>NECK_PP408</t>
        </is>
      </c>
      <c r="B122" s="26" t="inlineStr">
        <is>
          <t>necklace</t>
        </is>
      </c>
      <c r="C122" s="26" t="inlineStr">
        <is>
          <t>Necklace - Photo Print 408</t>
        </is>
      </c>
      <c r="D122" s="26" t="inlineStr">
        <is>
          <t>Identifier: Photo Print 408</t>
        </is>
      </c>
      <c r="G122" s="35" t="n"/>
      <c r="H122" s="35" t="n"/>
      <c r="I122" s="35" t="n"/>
      <c r="J122" s="36">
        <f>IF(AND(G122&lt;&gt;"",I122&lt;&gt;""),G122-I122,"")</f>
        <v/>
      </c>
      <c r="K122" s="37">
        <f>IF(AND(G122&lt;&gt;"",G122&lt;&gt;0),J122/G122,"")</f>
        <v/>
      </c>
      <c r="L122" s="26" t="inlineStr">
        <is>
          <t>Photo Print 408</t>
        </is>
      </c>
      <c r="M122" s="38" t="inlineStr">
        <is>
          <t>https://cdn.shopify.com/s/files/1/0936/8656/3183/files/2025-08-13-15-43-01-058.jpg?v=1764405833</t>
        </is>
      </c>
    </row>
    <row r="123" ht="15" customHeight="1" s="27">
      <c r="A123" s="26" t="inlineStr">
        <is>
          <t>NECK_PP409</t>
        </is>
      </c>
      <c r="B123" s="26" t="inlineStr">
        <is>
          <t>necklace</t>
        </is>
      </c>
      <c r="C123" s="26" t="inlineStr">
        <is>
          <t>Necklace - Photo Print 409</t>
        </is>
      </c>
      <c r="D123" s="26" t="inlineStr">
        <is>
          <t>Identifier: Photo Print 409</t>
        </is>
      </c>
      <c r="G123" s="35" t="n"/>
      <c r="H123" s="35" t="n"/>
      <c r="I123" s="35" t="n"/>
      <c r="J123" s="36">
        <f>IF(AND(G123&lt;&gt;"",I123&lt;&gt;""),G123-I123,"")</f>
        <v/>
      </c>
      <c r="K123" s="37">
        <f>IF(AND(G123&lt;&gt;"",G123&lt;&gt;0),J123/G123,"")</f>
        <v/>
      </c>
      <c r="L123" s="26" t="inlineStr">
        <is>
          <t>Photo Print 409</t>
        </is>
      </c>
      <c r="M123" s="38" t="inlineStr">
        <is>
          <t>https://cdn.shopify.com/s/files/1/0936/8656/3183/files/2025-08-13-15-40-13-319.jpg?v=1764406377</t>
        </is>
      </c>
    </row>
    <row r="124" ht="15" customHeight="1" s="27">
      <c r="A124" s="26" t="inlineStr">
        <is>
          <t>NECK_PP41</t>
        </is>
      </c>
      <c r="B124" s="26" t="inlineStr">
        <is>
          <t>necklace</t>
        </is>
      </c>
      <c r="C124" s="26" t="inlineStr">
        <is>
          <t>Necklace - Photo Print 41</t>
        </is>
      </c>
      <c r="D124" s="26" t="inlineStr">
        <is>
          <t>Identifier: Photo Print 41</t>
        </is>
      </c>
      <c r="G124" s="35" t="n"/>
      <c r="H124" s="35" t="n"/>
      <c r="I124" s="35" t="n"/>
      <c r="J124" s="36">
        <f>IF(AND(G124&lt;&gt;"",I124&lt;&gt;""),G124-I124,"")</f>
        <v/>
      </c>
      <c r="K124" s="37">
        <f>IF(AND(G124&lt;&gt;"",G124&lt;&gt;0),J124/G124,"")</f>
        <v/>
      </c>
      <c r="L124" s="26" t="inlineStr">
        <is>
          <t>Photo Print 41</t>
        </is>
      </c>
      <c r="M124" s="38" t="inlineStr">
        <is>
          <t>https://cdn.shopify.com/s/files/1/0936/8656/3183/files/PXL_20250819_193836409.jpg?v=1761563376</t>
        </is>
      </c>
    </row>
    <row r="125" ht="15" customHeight="1" s="27">
      <c r="A125" s="26" t="inlineStr">
        <is>
          <t>NECK_PP410</t>
        </is>
      </c>
      <c r="B125" s="26" t="inlineStr">
        <is>
          <t>necklace</t>
        </is>
      </c>
      <c r="C125" s="26" t="inlineStr">
        <is>
          <t>Necklace - Photo Print 410</t>
        </is>
      </c>
      <c r="D125" s="26" t="inlineStr">
        <is>
          <t>Identifier: Photo Print 410</t>
        </is>
      </c>
      <c r="G125" s="35" t="n"/>
      <c r="H125" s="35" t="n"/>
      <c r="I125" s="35" t="n"/>
      <c r="J125" s="36">
        <f>IF(AND(G125&lt;&gt;"",I125&lt;&gt;""),G125-I125,"")</f>
        <v/>
      </c>
      <c r="K125" s="37">
        <f>IF(AND(G125&lt;&gt;"",G125&lt;&gt;0),J125/G125,"")</f>
        <v/>
      </c>
      <c r="L125" s="26" t="inlineStr">
        <is>
          <t>Photo Print 410</t>
        </is>
      </c>
      <c r="M125" s="38" t="inlineStr">
        <is>
          <t>https://cdn.shopify.com/s/files/1/0936/8656/3183/files/2025-08-13-15-30-17-387.jpg?v=1764203257</t>
        </is>
      </c>
    </row>
    <row r="126" ht="15" customHeight="1" s="27">
      <c r="A126" s="26" t="inlineStr">
        <is>
          <t>NECK_PP411</t>
        </is>
      </c>
      <c r="B126" s="26" t="inlineStr">
        <is>
          <t>necklace</t>
        </is>
      </c>
      <c r="C126" s="26" t="inlineStr">
        <is>
          <t>Necklace - Photo Print 411</t>
        </is>
      </c>
      <c r="D126" s="26" t="inlineStr">
        <is>
          <t>Identifier: Photo Print 411</t>
        </is>
      </c>
      <c r="G126" s="35" t="n"/>
      <c r="H126" s="35" t="n"/>
      <c r="I126" s="35" t="n"/>
      <c r="J126" s="36">
        <f>IF(AND(G126&lt;&gt;"",I126&lt;&gt;""),G126-I126,"")</f>
        <v/>
      </c>
      <c r="K126" s="37">
        <f>IF(AND(G126&lt;&gt;"",G126&lt;&gt;0),J126/G126,"")</f>
        <v/>
      </c>
      <c r="L126" s="26" t="inlineStr">
        <is>
          <t>Photo Print 411</t>
        </is>
      </c>
      <c r="M126" s="38" t="inlineStr">
        <is>
          <t>https://cdn.shopify.com/s/files/1/0936/8656/3183/files/2025-08-13-15-11-31-259.jpg?v=1762842261</t>
        </is>
      </c>
    </row>
    <row r="127" ht="15" customHeight="1" s="27">
      <c r="A127" s="26" t="inlineStr">
        <is>
          <t>NECK_PP412</t>
        </is>
      </c>
      <c r="B127" s="26" t="inlineStr">
        <is>
          <t>necklace</t>
        </is>
      </c>
      <c r="C127" s="26" t="inlineStr">
        <is>
          <t>Necklace - Photo Print 412</t>
        </is>
      </c>
      <c r="D127" s="26" t="inlineStr">
        <is>
          <t>Identifier: Photo Print 412</t>
        </is>
      </c>
      <c r="G127" s="35" t="n"/>
      <c r="H127" s="35" t="n"/>
      <c r="I127" s="35" t="n"/>
      <c r="J127" s="36">
        <f>IF(AND(G127&lt;&gt;"",I127&lt;&gt;""),G127-I127,"")</f>
        <v/>
      </c>
      <c r="K127" s="37">
        <f>IF(AND(G127&lt;&gt;"",G127&lt;&gt;0),J127/G127,"")</f>
        <v/>
      </c>
      <c r="L127" s="26" t="inlineStr">
        <is>
          <t>Photo Print 412</t>
        </is>
      </c>
      <c r="M127" s="38" t="inlineStr">
        <is>
          <t>https://cdn.shopify.com/s/files/1/0936/8656/3183/files/2025-08-13-15-41-11-848.jpg?v=1764406519</t>
        </is>
      </c>
    </row>
    <row r="128" ht="15" customHeight="1" s="27">
      <c r="A128" s="26" t="inlineStr">
        <is>
          <t>NECK_PP413</t>
        </is>
      </c>
      <c r="B128" s="26" t="inlineStr">
        <is>
          <t>necklace</t>
        </is>
      </c>
      <c r="C128" s="26" t="inlineStr">
        <is>
          <t>Necklace - Photo Print 413</t>
        </is>
      </c>
      <c r="D128" s="26" t="inlineStr">
        <is>
          <t>Identifier: Photo Print 413</t>
        </is>
      </c>
      <c r="G128" s="35" t="n"/>
      <c r="H128" s="35" t="n"/>
      <c r="I128" s="35" t="n"/>
      <c r="J128" s="36">
        <f>IF(AND(G128&lt;&gt;"",I128&lt;&gt;""),G128-I128,"")</f>
        <v/>
      </c>
      <c r="K128" s="37">
        <f>IF(AND(G128&lt;&gt;"",G128&lt;&gt;0),J128/G128,"")</f>
        <v/>
      </c>
      <c r="L128" s="26" t="inlineStr">
        <is>
          <t>Photo Print 413</t>
        </is>
      </c>
      <c r="M128" s="38" t="inlineStr">
        <is>
          <t>https://cdn.shopify.com/s/files/1/0936/8656/3183/files/2025-08-13-15-17-04-185.jpg?v=1764407043</t>
        </is>
      </c>
    </row>
    <row r="129" ht="15" customHeight="1" s="27">
      <c r="A129" s="26" t="inlineStr">
        <is>
          <t>NECK_PP414</t>
        </is>
      </c>
      <c r="B129" s="26" t="inlineStr">
        <is>
          <t>necklace</t>
        </is>
      </c>
      <c r="C129" s="26" t="inlineStr">
        <is>
          <t>Necklace - Photo Print 414</t>
        </is>
      </c>
      <c r="D129" s="26" t="inlineStr">
        <is>
          <t>Identifier: Photo Print 414</t>
        </is>
      </c>
      <c r="G129" s="35" t="n"/>
      <c r="H129" s="35" t="n"/>
      <c r="I129" s="35" t="n"/>
      <c r="J129" s="36">
        <f>IF(AND(G129&lt;&gt;"",I129&lt;&gt;""),G129-I129,"")</f>
        <v/>
      </c>
      <c r="K129" s="37">
        <f>IF(AND(G129&lt;&gt;"",G129&lt;&gt;0),J129/G129,"")</f>
        <v/>
      </c>
      <c r="L129" s="26" t="inlineStr">
        <is>
          <t>Photo Print 414</t>
        </is>
      </c>
      <c r="M129" s="38" t="inlineStr">
        <is>
          <t>https://cdn.shopify.com/s/files/1/0936/8656/3183/files/2025-08-13-15-12-03-573.jpg?v=1762842263</t>
        </is>
      </c>
    </row>
    <row r="130" ht="15" customHeight="1" s="27">
      <c r="A130" s="26" t="inlineStr">
        <is>
          <t>NECK_PP415</t>
        </is>
      </c>
      <c r="B130" s="26" t="inlineStr">
        <is>
          <t>necklace</t>
        </is>
      </c>
      <c r="C130" s="26" t="inlineStr">
        <is>
          <t>Necklace - Photo Print 415</t>
        </is>
      </c>
      <c r="D130" s="26" t="inlineStr">
        <is>
          <t>Identifier: Photo Print 415</t>
        </is>
      </c>
      <c r="G130" s="35" t="n"/>
      <c r="H130" s="35" t="n"/>
      <c r="I130" s="35" t="n"/>
      <c r="J130" s="36">
        <f>IF(AND(G130&lt;&gt;"",I130&lt;&gt;""),G130-I130,"")</f>
        <v/>
      </c>
      <c r="K130" s="37">
        <f>IF(AND(G130&lt;&gt;"",G130&lt;&gt;0),J130/G130,"")</f>
        <v/>
      </c>
      <c r="L130" s="26" t="inlineStr">
        <is>
          <t>Photo Print 415</t>
        </is>
      </c>
      <c r="M130" s="38" t="inlineStr">
        <is>
          <t>https://cdn.shopify.com/s/files/1/0936/8656/3183/files/2025-08-13-15-42-40-500.jpg?v=1764407485</t>
        </is>
      </c>
    </row>
    <row r="131" ht="15" customHeight="1" s="27">
      <c r="A131" s="26" t="inlineStr">
        <is>
          <t>NECK_PP416</t>
        </is>
      </c>
      <c r="B131" s="26" t="inlineStr">
        <is>
          <t>necklace</t>
        </is>
      </c>
      <c r="C131" s="26" t="inlineStr">
        <is>
          <t>Necklace - Photo Print 416</t>
        </is>
      </c>
      <c r="D131" s="26" t="inlineStr">
        <is>
          <t>Identifier: Photo Print 416</t>
        </is>
      </c>
      <c r="G131" s="35" t="n"/>
      <c r="H131" s="35" t="n"/>
      <c r="I131" s="35" t="n"/>
      <c r="J131" s="36">
        <f>IF(AND(G131&lt;&gt;"",I131&lt;&gt;""),G131-I131,"")</f>
        <v/>
      </c>
      <c r="K131" s="37">
        <f>IF(AND(G131&lt;&gt;"",G131&lt;&gt;0),J131/G131,"")</f>
        <v/>
      </c>
      <c r="L131" s="26" t="inlineStr">
        <is>
          <t>Photo Print 416</t>
        </is>
      </c>
      <c r="M131" s="38" t="inlineStr">
        <is>
          <t>https://cdn.shopify.com/s/files/1/0936/8656/3183/files/2025-08-13-15-24-41-601.jpg?v=1764405679</t>
        </is>
      </c>
    </row>
    <row r="132" ht="15" customHeight="1" s="27">
      <c r="A132" s="26" t="inlineStr">
        <is>
          <t>NECK_PP417</t>
        </is>
      </c>
      <c r="B132" s="26" t="inlineStr">
        <is>
          <t>necklace</t>
        </is>
      </c>
      <c r="C132" s="26" t="inlineStr">
        <is>
          <t>Necklace - Photo Print 417</t>
        </is>
      </c>
      <c r="D132" s="26" t="inlineStr">
        <is>
          <t>Identifier: Photo Print 417</t>
        </is>
      </c>
      <c r="G132" s="35" t="n"/>
      <c r="H132" s="35" t="n"/>
      <c r="I132" s="35" t="n"/>
      <c r="J132" s="36">
        <f>IF(AND(G132&lt;&gt;"",I132&lt;&gt;""),G132-I132,"")</f>
        <v/>
      </c>
      <c r="K132" s="37">
        <f>IF(AND(G132&lt;&gt;"",G132&lt;&gt;0),J132/G132,"")</f>
        <v/>
      </c>
      <c r="L132" s="26" t="inlineStr">
        <is>
          <t>Photo Print 417</t>
        </is>
      </c>
      <c r="M132" s="38" t="inlineStr">
        <is>
          <t>https://cdn.shopify.com/s/files/1/0936/8656/3183/files/2025-08-13-15-28-49-654.jpg?v=1764405561</t>
        </is>
      </c>
    </row>
    <row r="133" ht="15" customHeight="1" s="27">
      <c r="A133" s="26" t="inlineStr">
        <is>
          <t>NECK_PP418</t>
        </is>
      </c>
      <c r="B133" s="26" t="inlineStr">
        <is>
          <t>necklace</t>
        </is>
      </c>
      <c r="C133" s="26" t="inlineStr">
        <is>
          <t>Necklace - Photo Print 418</t>
        </is>
      </c>
      <c r="D133" s="26" t="inlineStr">
        <is>
          <t>Identifier: Photo Print 418</t>
        </is>
      </c>
      <c r="G133" s="35" t="n"/>
      <c r="H133" s="35" t="n"/>
      <c r="I133" s="35" t="n"/>
      <c r="J133" s="36">
        <f>IF(AND(G133&lt;&gt;"",I133&lt;&gt;""),G133-I133,"")</f>
        <v/>
      </c>
      <c r="K133" s="37">
        <f>IF(AND(G133&lt;&gt;"",G133&lt;&gt;0),J133/G133,"")</f>
        <v/>
      </c>
      <c r="L133" s="26" t="inlineStr">
        <is>
          <t>Photo Print 418</t>
        </is>
      </c>
      <c r="M133" s="38" t="inlineStr">
        <is>
          <t>https://cdn.shopify.com/s/files/1/0936/8656/3183/files/2025-08-13-15-11-32-242.jpg?v=1762842263</t>
        </is>
      </c>
    </row>
    <row r="134" ht="15" customHeight="1" s="27">
      <c r="A134" s="26" t="inlineStr">
        <is>
          <t>NECK_PP419</t>
        </is>
      </c>
      <c r="B134" s="26" t="inlineStr">
        <is>
          <t>necklace</t>
        </is>
      </c>
      <c r="C134" s="26" t="inlineStr">
        <is>
          <t>Necklace - Photo Print 419</t>
        </is>
      </c>
      <c r="D134" s="26" t="inlineStr">
        <is>
          <t>Identifier: Photo Print 419</t>
        </is>
      </c>
      <c r="G134" s="35" t="n"/>
      <c r="H134" s="35" t="n"/>
      <c r="I134" s="35" t="n"/>
      <c r="J134" s="36">
        <f>IF(AND(G134&lt;&gt;"",I134&lt;&gt;""),G134-I134,"")</f>
        <v/>
      </c>
      <c r="K134" s="37">
        <f>IF(AND(G134&lt;&gt;"",G134&lt;&gt;0),J134/G134,"")</f>
        <v/>
      </c>
      <c r="L134" s="26" t="inlineStr">
        <is>
          <t>Photo Print 419</t>
        </is>
      </c>
      <c r="M134" s="38" t="inlineStr">
        <is>
          <t>https://cdn.shopify.com/s/files/1/0936/8656/3183/files/2025-08-13-15-41-26-414.jpg?v=1764405436</t>
        </is>
      </c>
    </row>
    <row r="135" ht="15" customHeight="1" s="27">
      <c r="A135" s="26" t="inlineStr">
        <is>
          <t>NECK_PP42</t>
        </is>
      </c>
      <c r="B135" s="26" t="inlineStr">
        <is>
          <t>necklace</t>
        </is>
      </c>
      <c r="C135" s="26" t="inlineStr">
        <is>
          <t>Necklace - Photo Print 42</t>
        </is>
      </c>
      <c r="D135" s="26" t="inlineStr">
        <is>
          <t>Identifier: Photo Print 42</t>
        </is>
      </c>
      <c r="G135" s="35" t="n"/>
      <c r="H135" s="35" t="n"/>
      <c r="I135" s="35" t="n"/>
      <c r="J135" s="36">
        <f>IF(AND(G135&lt;&gt;"",I135&lt;&gt;""),G135-I135,"")</f>
        <v/>
      </c>
      <c r="K135" s="37">
        <f>IF(AND(G135&lt;&gt;"",G135&lt;&gt;0),J135/G135,"")</f>
        <v/>
      </c>
      <c r="L135" s="26" t="inlineStr">
        <is>
          <t>Photo Print 42</t>
        </is>
      </c>
      <c r="M135" s="38" t="inlineStr">
        <is>
          <t>https://cdn.shopify.com/s/files/1/0936/8656/3183/files/PXL_20250819_194028193.jpg?v=1761563376</t>
        </is>
      </c>
    </row>
    <row r="136" ht="15" customHeight="1" s="27">
      <c r="A136" s="26" t="inlineStr">
        <is>
          <t>NECK_PP420</t>
        </is>
      </c>
      <c r="B136" s="26" t="inlineStr">
        <is>
          <t>necklace</t>
        </is>
      </c>
      <c r="C136" s="26" t="inlineStr">
        <is>
          <t>Necklace - Photo Print 420</t>
        </is>
      </c>
      <c r="D136" s="26" t="inlineStr">
        <is>
          <t>Identifier: Photo Print 420</t>
        </is>
      </c>
      <c r="G136" s="35" t="n"/>
      <c r="H136" s="35" t="n"/>
      <c r="I136" s="35" t="n"/>
      <c r="J136" s="36">
        <f>IF(AND(G136&lt;&gt;"",I136&lt;&gt;""),G136-I136,"")</f>
        <v/>
      </c>
      <c r="K136" s="37">
        <f>IF(AND(G136&lt;&gt;"",G136&lt;&gt;0),J136/G136,"")</f>
        <v/>
      </c>
      <c r="L136" s="26" t="inlineStr">
        <is>
          <t>Photo Print 420</t>
        </is>
      </c>
      <c r="M136" s="38" t="inlineStr">
        <is>
          <t>https://cdn.shopify.com/s/files/1/0936/8656/3183/files/2025-08-13-15-36-36-791.jpg?v=1763457129</t>
        </is>
      </c>
    </row>
    <row r="137" ht="15" customHeight="1" s="27">
      <c r="A137" s="26" t="inlineStr">
        <is>
          <t>NECK_PP421</t>
        </is>
      </c>
      <c r="B137" s="26" t="inlineStr">
        <is>
          <t>necklace</t>
        </is>
      </c>
      <c r="C137" s="26" t="inlineStr">
        <is>
          <t>Necklace - Photo Print 421</t>
        </is>
      </c>
      <c r="D137" s="26" t="inlineStr">
        <is>
          <t>Identifier: Photo Print 421</t>
        </is>
      </c>
      <c r="G137" s="35" t="n"/>
      <c r="H137" s="35" t="n"/>
      <c r="I137" s="35" t="n"/>
      <c r="J137" s="36">
        <f>IF(AND(G137&lt;&gt;"",I137&lt;&gt;""),G137-I137,"")</f>
        <v/>
      </c>
      <c r="K137" s="37">
        <f>IF(AND(G137&lt;&gt;"",G137&lt;&gt;0),J137/G137,"")</f>
        <v/>
      </c>
      <c r="L137" s="26" t="inlineStr">
        <is>
          <t>Photo Print 421</t>
        </is>
      </c>
      <c r="M137" s="38" t="inlineStr">
        <is>
          <t>https://cdn.shopify.com/s/files/1/0936/8656/3183/files/2025-08-13-15-40-55-935.jpg?v=1762900742</t>
        </is>
      </c>
    </row>
    <row r="138" ht="15" customHeight="1" s="27">
      <c r="A138" s="26" t="inlineStr">
        <is>
          <t>NECK_PP422</t>
        </is>
      </c>
      <c r="B138" s="26" t="inlineStr">
        <is>
          <t>necklace</t>
        </is>
      </c>
      <c r="C138" s="26" t="inlineStr">
        <is>
          <t>Necklace - Photo Print 422</t>
        </is>
      </c>
      <c r="D138" s="26" t="inlineStr">
        <is>
          <t>Identifier: Photo Print 422</t>
        </is>
      </c>
      <c r="G138" s="35" t="n"/>
      <c r="H138" s="35" t="n"/>
      <c r="I138" s="35" t="n"/>
      <c r="J138" s="36">
        <f>IF(AND(G138&lt;&gt;"",I138&lt;&gt;""),G138-I138,"")</f>
        <v/>
      </c>
      <c r="K138" s="37">
        <f>IF(AND(G138&lt;&gt;"",G138&lt;&gt;0),J138/G138,"")</f>
        <v/>
      </c>
      <c r="L138" s="26" t="inlineStr">
        <is>
          <t>Photo Print 422</t>
        </is>
      </c>
      <c r="M138" s="38" t="inlineStr">
        <is>
          <t>https://cdn.shopify.com/s/files/1/0936/8656/3183/files/2025-08-13-15-14-58-252.jpg?v=1763455281</t>
        </is>
      </c>
    </row>
    <row r="139" ht="15" customHeight="1" s="27">
      <c r="A139" s="26" t="inlineStr">
        <is>
          <t>NECK_PP423</t>
        </is>
      </c>
      <c r="B139" s="26" t="inlineStr">
        <is>
          <t>necklace</t>
        </is>
      </c>
      <c r="C139" s="26" t="inlineStr">
        <is>
          <t>Necklace - Photo Print 423</t>
        </is>
      </c>
      <c r="D139" s="26" t="inlineStr">
        <is>
          <t>Identifier: Photo Print 423</t>
        </is>
      </c>
      <c r="G139" s="35" t="n"/>
      <c r="H139" s="35" t="n"/>
      <c r="I139" s="35" t="n"/>
      <c r="J139" s="36">
        <f>IF(AND(G139&lt;&gt;"",I139&lt;&gt;""),G139-I139,"")</f>
        <v/>
      </c>
      <c r="K139" s="37">
        <f>IF(AND(G139&lt;&gt;"",G139&lt;&gt;0),J139/G139,"")</f>
        <v/>
      </c>
      <c r="L139" s="26" t="inlineStr">
        <is>
          <t>Photo Print 423</t>
        </is>
      </c>
      <c r="M139" s="38" t="inlineStr">
        <is>
          <t>https://cdn.shopify.com/s/files/1/0936/8656/3183/files/2025-08-13-15-24-11-548.jpg?v=1764405338</t>
        </is>
      </c>
    </row>
    <row r="140" ht="15" customHeight="1" s="27">
      <c r="A140" s="26" t="inlineStr">
        <is>
          <t>NECK_PP424</t>
        </is>
      </c>
      <c r="B140" s="26" t="inlineStr">
        <is>
          <t>necklace</t>
        </is>
      </c>
      <c r="C140" s="26" t="inlineStr">
        <is>
          <t>Necklace - Photo Print 424</t>
        </is>
      </c>
      <c r="D140" s="26" t="inlineStr">
        <is>
          <t>Identifier: Photo Print 424</t>
        </is>
      </c>
      <c r="G140" s="35" t="n"/>
      <c r="H140" s="35" t="n"/>
      <c r="I140" s="35" t="n"/>
      <c r="J140" s="36">
        <f>IF(AND(G140&lt;&gt;"",I140&lt;&gt;""),G140-I140,"")</f>
        <v/>
      </c>
      <c r="K140" s="37">
        <f>IF(AND(G140&lt;&gt;"",G140&lt;&gt;0),J140/G140,"")</f>
        <v/>
      </c>
      <c r="L140" s="26" t="inlineStr">
        <is>
          <t>Photo Print 424</t>
        </is>
      </c>
      <c r="M140" s="38" t="inlineStr">
        <is>
          <t>https://cdn.shopify.com/s/files/1/0936/8656/3183/files/2025-08-13-15-33-42-522.jpg?v=1763457059</t>
        </is>
      </c>
    </row>
    <row r="141" ht="15" customHeight="1" s="27">
      <c r="A141" s="26" t="inlineStr">
        <is>
          <t>NECK_PP425</t>
        </is>
      </c>
      <c r="B141" s="26" t="inlineStr">
        <is>
          <t>necklace</t>
        </is>
      </c>
      <c r="C141" s="26" t="inlineStr">
        <is>
          <t>Necklace - Photo Print 425</t>
        </is>
      </c>
      <c r="D141" s="26" t="inlineStr">
        <is>
          <t>Identifier: Photo Print 425</t>
        </is>
      </c>
      <c r="G141" s="35" t="n"/>
      <c r="H141" s="35" t="n"/>
      <c r="I141" s="35" t="n"/>
      <c r="J141" s="36">
        <f>IF(AND(G141&lt;&gt;"",I141&lt;&gt;""),G141-I141,"")</f>
        <v/>
      </c>
      <c r="K141" s="37">
        <f>IF(AND(G141&lt;&gt;"",G141&lt;&gt;0),J141/G141,"")</f>
        <v/>
      </c>
      <c r="L141" s="26" t="inlineStr">
        <is>
          <t>Photo Print 425</t>
        </is>
      </c>
      <c r="M141" s="38" t="inlineStr">
        <is>
          <t>https://cdn.shopify.com/s/files/1/0936/8656/3183/files/2025-08-13-15-13-23-968.jpg?v=1763457333</t>
        </is>
      </c>
    </row>
    <row r="142" ht="15" customHeight="1" s="27">
      <c r="A142" s="26" t="inlineStr">
        <is>
          <t>NECK_PP426</t>
        </is>
      </c>
      <c r="B142" s="26" t="inlineStr">
        <is>
          <t>necklace</t>
        </is>
      </c>
      <c r="C142" s="26" t="inlineStr">
        <is>
          <t>Necklace - Photo Print 426</t>
        </is>
      </c>
      <c r="D142" s="26" t="inlineStr">
        <is>
          <t>Identifier: Photo Print 426</t>
        </is>
      </c>
      <c r="G142" s="35" t="n"/>
      <c r="H142" s="35" t="n"/>
      <c r="I142" s="35" t="n"/>
      <c r="J142" s="36">
        <f>IF(AND(G142&lt;&gt;"",I142&lt;&gt;""),G142-I142,"")</f>
        <v/>
      </c>
      <c r="K142" s="37">
        <f>IF(AND(G142&lt;&gt;"",G142&lt;&gt;0),J142/G142,"")</f>
        <v/>
      </c>
      <c r="L142" s="26" t="inlineStr">
        <is>
          <t>Photo Print 426</t>
        </is>
      </c>
      <c r="M142" s="38" t="inlineStr">
        <is>
          <t>https://cdn.shopify.com/s/files/1/0936/8656/3183/files/2025-08-13-15-22-23-452.jpg?v=1762900134</t>
        </is>
      </c>
    </row>
    <row r="143" ht="15" customHeight="1" s="27">
      <c r="A143" s="26" t="inlineStr">
        <is>
          <t>NECK_PP427</t>
        </is>
      </c>
      <c r="B143" s="26" t="inlineStr">
        <is>
          <t>necklace</t>
        </is>
      </c>
      <c r="C143" s="26" t="inlineStr">
        <is>
          <t>Necklace - Photo Print 427</t>
        </is>
      </c>
      <c r="D143" s="26" t="inlineStr">
        <is>
          <t>Identifier: Photo Print 427</t>
        </is>
      </c>
      <c r="G143" s="35" t="n"/>
      <c r="H143" s="35" t="n"/>
      <c r="I143" s="35" t="n"/>
      <c r="J143" s="36">
        <f>IF(AND(G143&lt;&gt;"",I143&lt;&gt;""),G143-I143,"")</f>
        <v/>
      </c>
      <c r="K143" s="37">
        <f>IF(AND(G143&lt;&gt;"",G143&lt;&gt;0),J143/G143,"")</f>
        <v/>
      </c>
      <c r="L143" s="26" t="inlineStr">
        <is>
          <t>Photo Print 427</t>
        </is>
      </c>
      <c r="M143" s="38" t="inlineStr">
        <is>
          <t>https://cdn.shopify.com/s/files/1/0936/8656/3183/files/necklace11.jpg?v=1764260488</t>
        </is>
      </c>
    </row>
    <row r="144" ht="15" customHeight="1" s="27">
      <c r="A144" s="26" t="inlineStr">
        <is>
          <t>NECK_PP428</t>
        </is>
      </c>
      <c r="B144" s="26" t="inlineStr">
        <is>
          <t>necklace</t>
        </is>
      </c>
      <c r="C144" s="26" t="inlineStr">
        <is>
          <t>Necklace - Photo Print 428</t>
        </is>
      </c>
      <c r="D144" s="26" t="inlineStr">
        <is>
          <t>Identifier: Photo Print 428</t>
        </is>
      </c>
      <c r="G144" s="35" t="n"/>
      <c r="H144" s="35" t="n"/>
      <c r="I144" s="35" t="n"/>
      <c r="J144" s="36">
        <f>IF(AND(G144&lt;&gt;"",I144&lt;&gt;""),G144-I144,"")</f>
        <v/>
      </c>
      <c r="K144" s="37">
        <f>IF(AND(G144&lt;&gt;"",G144&lt;&gt;0),J144/G144,"")</f>
        <v/>
      </c>
      <c r="L144" s="26" t="inlineStr">
        <is>
          <t>Photo Print 428</t>
        </is>
      </c>
      <c r="M144" s="38" t="inlineStr">
        <is>
          <t>https://cdn.shopify.com/s/files/1/0936/8656/3183/files/necklace10.jpg?v=1764405246</t>
        </is>
      </c>
    </row>
    <row r="145" ht="15" customHeight="1" s="27">
      <c r="A145" s="26" t="inlineStr">
        <is>
          <t>NECK_PP429</t>
        </is>
      </c>
      <c r="B145" s="26" t="inlineStr">
        <is>
          <t>necklace</t>
        </is>
      </c>
      <c r="C145" s="26" t="inlineStr">
        <is>
          <t>Necklace - Photo Print 429</t>
        </is>
      </c>
      <c r="D145" s="26" t="inlineStr">
        <is>
          <t>Identifier: Photo Print 429</t>
        </is>
      </c>
      <c r="G145" s="35" t="n"/>
      <c r="H145" s="35" t="n"/>
      <c r="I145" s="35" t="n"/>
      <c r="J145" s="36">
        <f>IF(AND(G145&lt;&gt;"",I145&lt;&gt;""),G145-I145,"")</f>
        <v/>
      </c>
      <c r="K145" s="37">
        <f>IF(AND(G145&lt;&gt;"",G145&lt;&gt;0),J145/G145,"")</f>
        <v/>
      </c>
      <c r="L145" s="26" t="inlineStr">
        <is>
          <t>Photo Print 429</t>
        </is>
      </c>
      <c r="M145" s="38" t="inlineStr">
        <is>
          <t>https://cdn.shopify.com/s/files/1/0936/8656/3183/files/necklace9.jpg?v=1764260443</t>
        </is>
      </c>
    </row>
    <row r="146" ht="15" customHeight="1" s="27">
      <c r="A146" s="26" t="inlineStr">
        <is>
          <t>NECK_PP43</t>
        </is>
      </c>
      <c r="B146" s="26" t="inlineStr">
        <is>
          <t>necklace</t>
        </is>
      </c>
      <c r="C146" s="26" t="inlineStr">
        <is>
          <t>Necklace - Photo Print 43</t>
        </is>
      </c>
      <c r="D146" s="26" t="inlineStr">
        <is>
          <t>Identifier: Photo Print 43</t>
        </is>
      </c>
      <c r="G146" s="35" t="n"/>
      <c r="H146" s="35" t="n"/>
      <c r="I146" s="35" t="n"/>
      <c r="J146" s="36">
        <f>IF(AND(G146&lt;&gt;"",I146&lt;&gt;""),G146-I146,"")</f>
        <v/>
      </c>
      <c r="K146" s="37">
        <f>IF(AND(G146&lt;&gt;"",G146&lt;&gt;0),J146/G146,"")</f>
        <v/>
      </c>
      <c r="L146" s="26" t="inlineStr">
        <is>
          <t>Photo Print 43</t>
        </is>
      </c>
      <c r="M146" s="38" t="inlineStr">
        <is>
          <t>https://cdn.shopify.com/s/files/1/0936/8656/3183/files/PXL_20250819_174809086.jpg?v=1761563377</t>
        </is>
      </c>
    </row>
    <row r="147" ht="15" customHeight="1" s="27">
      <c r="A147" s="26" t="inlineStr">
        <is>
          <t>NECK_PP430</t>
        </is>
      </c>
      <c r="B147" s="26" t="inlineStr">
        <is>
          <t>necklace</t>
        </is>
      </c>
      <c r="C147" s="26" t="inlineStr">
        <is>
          <t>Necklace - Photo Print 430</t>
        </is>
      </c>
      <c r="D147" s="26" t="inlineStr">
        <is>
          <t>Identifier: Photo Print 430</t>
        </is>
      </c>
      <c r="G147" s="35" t="n"/>
      <c r="H147" s="35" t="n"/>
      <c r="I147" s="35" t="n"/>
      <c r="J147" s="36">
        <f>IF(AND(G147&lt;&gt;"",I147&lt;&gt;""),G147-I147,"")</f>
        <v/>
      </c>
      <c r="K147" s="37">
        <f>IF(AND(G147&lt;&gt;"",G147&lt;&gt;0),J147/G147,"")</f>
        <v/>
      </c>
      <c r="L147" s="26" t="inlineStr">
        <is>
          <t>Photo Print 430</t>
        </is>
      </c>
      <c r="M147" s="38" t="inlineStr">
        <is>
          <t>https://cdn.shopify.com/s/files/1/0936/8656/3183/files/necklace8.jpg?v=1764260430</t>
        </is>
      </c>
    </row>
    <row r="148" ht="15" customHeight="1" s="27">
      <c r="A148" s="26" t="inlineStr">
        <is>
          <t>NECK_PP431</t>
        </is>
      </c>
      <c r="B148" s="26" t="inlineStr">
        <is>
          <t>necklace</t>
        </is>
      </c>
      <c r="C148" s="26" t="inlineStr">
        <is>
          <t>Necklace - Photo Print 431</t>
        </is>
      </c>
      <c r="D148" s="26" t="inlineStr">
        <is>
          <t>Identifier: Photo Print 431</t>
        </is>
      </c>
      <c r="G148" s="35" t="n"/>
      <c r="H148" s="35" t="n"/>
      <c r="I148" s="35" t="n"/>
      <c r="J148" s="36">
        <f>IF(AND(G148&lt;&gt;"",I148&lt;&gt;""),G148-I148,"")</f>
        <v/>
      </c>
      <c r="K148" s="37">
        <f>IF(AND(G148&lt;&gt;"",G148&lt;&gt;0),J148/G148,"")</f>
        <v/>
      </c>
      <c r="L148" s="26" t="inlineStr">
        <is>
          <t>Photo Print 431</t>
        </is>
      </c>
      <c r="M148" s="38" t="inlineStr">
        <is>
          <t>https://cdn.shopify.com/s/files/1/0936/8656/3183/files/necklace7.jpg?v=1764260404</t>
        </is>
      </c>
    </row>
    <row r="149" ht="15" customHeight="1" s="27">
      <c r="A149" s="26" t="inlineStr">
        <is>
          <t>NECK_PP433</t>
        </is>
      </c>
      <c r="B149" s="26" t="inlineStr">
        <is>
          <t>necklace</t>
        </is>
      </c>
      <c r="C149" s="26" t="inlineStr">
        <is>
          <t>Necklace - Photo Print 433</t>
        </is>
      </c>
      <c r="D149" s="26" t="inlineStr">
        <is>
          <t>Identifier: Photo Print 433</t>
        </is>
      </c>
      <c r="G149" s="35" t="n"/>
      <c r="H149" s="35" t="n"/>
      <c r="I149" s="35" t="n"/>
      <c r="J149" s="36">
        <f>IF(AND(G149&lt;&gt;"",I149&lt;&gt;""),G149-I149,"")</f>
        <v/>
      </c>
      <c r="K149" s="37">
        <f>IF(AND(G149&lt;&gt;"",G149&lt;&gt;0),J149/G149,"")</f>
        <v/>
      </c>
      <c r="L149" s="26" t="inlineStr">
        <is>
          <t>Photo Print 433</t>
        </is>
      </c>
      <c r="M149" s="38" t="inlineStr">
        <is>
          <t>https://cdn.shopify.com/s/files/1/0936/8656/3183/files/necklace5.jpg?v=1764260363</t>
        </is>
      </c>
    </row>
    <row r="150" ht="15" customHeight="1" s="27">
      <c r="A150" s="26" t="inlineStr">
        <is>
          <t>NECK_PP434</t>
        </is>
      </c>
      <c r="B150" s="26" t="inlineStr">
        <is>
          <t>necklace</t>
        </is>
      </c>
      <c r="C150" s="26" t="inlineStr">
        <is>
          <t>Necklace - Photo Print 434</t>
        </is>
      </c>
      <c r="D150" s="26" t="inlineStr">
        <is>
          <t>Identifier: Photo Print 434</t>
        </is>
      </c>
      <c r="G150" s="35" t="n"/>
      <c r="H150" s="35" t="n"/>
      <c r="I150" s="35" t="n"/>
      <c r="J150" s="36">
        <f>IF(AND(G150&lt;&gt;"",I150&lt;&gt;""),G150-I150,"")</f>
        <v/>
      </c>
      <c r="K150" s="37">
        <f>IF(AND(G150&lt;&gt;"",G150&lt;&gt;0),J150/G150,"")</f>
        <v/>
      </c>
      <c r="L150" s="26" t="inlineStr">
        <is>
          <t>Photo Print 434</t>
        </is>
      </c>
      <c r="M150" s="38" t="inlineStr">
        <is>
          <t>https://cdn.shopify.com/s/files/1/0936/8656/3183/files/necklace3.jpg?v=1764260341</t>
        </is>
      </c>
    </row>
    <row r="151" ht="15" customHeight="1" s="27">
      <c r="A151" s="26" t="inlineStr">
        <is>
          <t>NECK_PP435</t>
        </is>
      </c>
      <c r="B151" s="26" t="inlineStr">
        <is>
          <t>necklace</t>
        </is>
      </c>
      <c r="C151" s="26" t="inlineStr">
        <is>
          <t>Necklace - Photo Print 435</t>
        </is>
      </c>
      <c r="D151" s="26" t="inlineStr">
        <is>
          <t>Identifier: Photo Print 435</t>
        </is>
      </c>
      <c r="G151" s="35" t="n"/>
      <c r="H151" s="35" t="n"/>
      <c r="I151" s="35" t="n"/>
      <c r="J151" s="36">
        <f>IF(AND(G151&lt;&gt;"",I151&lt;&gt;""),G151-I151,"")</f>
        <v/>
      </c>
      <c r="K151" s="37">
        <f>IF(AND(G151&lt;&gt;"",G151&lt;&gt;0),J151/G151,"")</f>
        <v/>
      </c>
      <c r="L151" s="26" t="inlineStr">
        <is>
          <t>Photo Print 435</t>
        </is>
      </c>
      <c r="M151" s="38" t="inlineStr">
        <is>
          <t>https://cdn.shopify.com/s/files/1/0936/8656/3183/files/necklace2.jpg?v=1764260317</t>
        </is>
      </c>
    </row>
    <row r="152" ht="15" customHeight="1" s="27">
      <c r="A152" s="26" t="inlineStr">
        <is>
          <t>NECK_PP436</t>
        </is>
      </c>
      <c r="B152" s="26" t="inlineStr">
        <is>
          <t>necklace</t>
        </is>
      </c>
      <c r="C152" s="26" t="inlineStr">
        <is>
          <t>Necklace - Photo Print 436</t>
        </is>
      </c>
      <c r="D152" s="26" t="inlineStr">
        <is>
          <t>Identifier: Photo Print 436</t>
        </is>
      </c>
      <c r="G152" s="35" t="n"/>
      <c r="H152" s="35" t="n"/>
      <c r="I152" s="35" t="n"/>
      <c r="J152" s="36">
        <f>IF(AND(G152&lt;&gt;"",I152&lt;&gt;""),G152-I152,"")</f>
        <v/>
      </c>
      <c r="K152" s="37">
        <f>IF(AND(G152&lt;&gt;"",G152&lt;&gt;0),J152/G152,"")</f>
        <v/>
      </c>
      <c r="L152" s="26" t="inlineStr">
        <is>
          <t>Photo Print 436</t>
        </is>
      </c>
      <c r="M152" s="38" t="inlineStr">
        <is>
          <t>https://cdn.shopify.com/s/files/1/0936/8656/3183/files/necklace.jpg?v=1764260282</t>
        </is>
      </c>
    </row>
    <row r="153" ht="15" customHeight="1" s="27">
      <c r="A153" s="26" t="inlineStr">
        <is>
          <t>NECK_PP44</t>
        </is>
      </c>
      <c r="B153" s="26" t="inlineStr">
        <is>
          <t>necklace</t>
        </is>
      </c>
      <c r="C153" s="26" t="inlineStr">
        <is>
          <t>Necklace - Photo Print 44</t>
        </is>
      </c>
      <c r="D153" s="26" t="inlineStr">
        <is>
          <t>Identifier: Photo Print 44</t>
        </is>
      </c>
      <c r="G153" s="35" t="n"/>
      <c r="H153" s="35" t="n"/>
      <c r="I153" s="35" t="n"/>
      <c r="J153" s="36">
        <f>IF(AND(G153&lt;&gt;"",I153&lt;&gt;""),G153-I153,"")</f>
        <v/>
      </c>
      <c r="K153" s="37">
        <f>IF(AND(G153&lt;&gt;"",G153&lt;&gt;0),J153/G153,"")</f>
        <v/>
      </c>
      <c r="L153" s="26" t="inlineStr">
        <is>
          <t>Photo Print 44</t>
        </is>
      </c>
      <c r="M153" s="38" t="inlineStr">
        <is>
          <t>https://cdn.shopify.com/s/files/1/0936/8656/3183/files/PXL_20250819_175637266.jpg?v=1761563376</t>
        </is>
      </c>
    </row>
    <row r="154" ht="15" customHeight="1" s="27">
      <c r="A154" s="26" t="inlineStr">
        <is>
          <t>NECK_PP444</t>
        </is>
      </c>
      <c r="B154" s="26" t="inlineStr">
        <is>
          <t>necklace</t>
        </is>
      </c>
      <c r="C154" s="26" t="inlineStr">
        <is>
          <t>Necklace - Photo Print 444</t>
        </is>
      </c>
      <c r="D154" s="26" t="inlineStr">
        <is>
          <t>Identifier: Photo Print 444</t>
        </is>
      </c>
      <c r="G154" s="35" t="n"/>
      <c r="H154" s="35" t="n"/>
      <c r="I154" s="35" t="n"/>
      <c r="J154" s="36">
        <f>IF(AND(G154&lt;&gt;"",I154&lt;&gt;""),G154-I154,"")</f>
        <v/>
      </c>
      <c r="K154" s="37">
        <f>IF(AND(G154&lt;&gt;"",G154&lt;&gt;0),J154/G154,"")</f>
        <v/>
      </c>
      <c r="L154" s="26" t="inlineStr">
        <is>
          <t>Photo Print 444</t>
        </is>
      </c>
      <c r="M154" s="38" t="inlineStr">
        <is>
          <t>https://cdn.shopify.com/s/files/1/0936/8656/3183/files/2025-08-13-15-03-42-900.jpg?v=1764318702</t>
        </is>
      </c>
    </row>
    <row r="155" ht="15" customHeight="1" s="27">
      <c r="A155" s="26" t="inlineStr">
        <is>
          <t>NECK_PP445</t>
        </is>
      </c>
      <c r="B155" s="26" t="inlineStr">
        <is>
          <t>necklace</t>
        </is>
      </c>
      <c r="C155" s="26" t="inlineStr">
        <is>
          <t>Necklace - Photo Print 445</t>
        </is>
      </c>
      <c r="D155" s="26" t="inlineStr">
        <is>
          <t>Identifier: Photo Print 445</t>
        </is>
      </c>
      <c r="G155" s="35" t="n"/>
      <c r="H155" s="35" t="n"/>
      <c r="I155" s="35" t="n"/>
      <c r="J155" s="36">
        <f>IF(AND(G155&lt;&gt;"",I155&lt;&gt;""),G155-I155,"")</f>
        <v/>
      </c>
      <c r="K155" s="37">
        <f>IF(AND(G155&lt;&gt;"",G155&lt;&gt;0),J155/G155,"")</f>
        <v/>
      </c>
      <c r="L155" s="26" t="inlineStr">
        <is>
          <t>Photo Print 445</t>
        </is>
      </c>
      <c r="M155" s="38" t="inlineStr">
        <is>
          <t>https://cdn.shopify.com/s/files/1/0936/8656/3183/files/2025-08-13-15-03-42-900_-_Copy.jpg?v=1764405125</t>
        </is>
      </c>
    </row>
    <row r="156" ht="15" customHeight="1" s="27">
      <c r="A156" s="26" t="inlineStr">
        <is>
          <t>NECK_PP446</t>
        </is>
      </c>
      <c r="B156" s="26" t="inlineStr">
        <is>
          <t>necklace</t>
        </is>
      </c>
      <c r="C156" s="26" t="inlineStr">
        <is>
          <t>Necklace - Photo Print 446</t>
        </is>
      </c>
      <c r="D156" s="26" t="inlineStr">
        <is>
          <t>Identifier: Photo Print 446</t>
        </is>
      </c>
      <c r="G156" s="35" t="n"/>
      <c r="H156" s="35" t="n"/>
      <c r="I156" s="35" t="n"/>
      <c r="J156" s="36">
        <f>IF(AND(G156&lt;&gt;"",I156&lt;&gt;""),G156-I156,"")</f>
        <v/>
      </c>
      <c r="K156" s="37">
        <f>IF(AND(G156&lt;&gt;"",G156&lt;&gt;0),J156/G156,"")</f>
        <v/>
      </c>
      <c r="L156" s="26" t="inlineStr">
        <is>
          <t>Photo Print 446</t>
        </is>
      </c>
      <c r="M156" s="38" t="inlineStr">
        <is>
          <t>https://cdn.shopify.com/s/files/1/0936/8656/3183/files/2025-08-13-15-07-40-909.jpg?v=1764318704</t>
        </is>
      </c>
    </row>
    <row r="157" ht="15" customHeight="1" s="27">
      <c r="A157" s="26" t="inlineStr">
        <is>
          <t>NECK_PP447</t>
        </is>
      </c>
      <c r="B157" s="26" t="inlineStr">
        <is>
          <t>necklace</t>
        </is>
      </c>
      <c r="C157" s="26" t="inlineStr">
        <is>
          <t>Necklace - Photo Print 447</t>
        </is>
      </c>
      <c r="D157" s="26" t="inlineStr">
        <is>
          <t>Identifier: Photo Print 447</t>
        </is>
      </c>
      <c r="G157" s="35" t="n"/>
      <c r="H157" s="35" t="n"/>
      <c r="I157" s="35" t="n"/>
      <c r="J157" s="36">
        <f>IF(AND(G157&lt;&gt;"",I157&lt;&gt;""),G157-I157,"")</f>
        <v/>
      </c>
      <c r="K157" s="37">
        <f>IF(AND(G157&lt;&gt;"",G157&lt;&gt;0),J157/G157,"")</f>
        <v/>
      </c>
      <c r="L157" s="26" t="inlineStr">
        <is>
          <t>Photo Print 447</t>
        </is>
      </c>
      <c r="M157" s="38" t="inlineStr">
        <is>
          <t>https://cdn.shopify.com/s/files/1/0936/8656/3183/files/2025-08-13-15-06-00-967.jpg?v=1764404955</t>
        </is>
      </c>
    </row>
    <row r="158" ht="15" customHeight="1" s="27">
      <c r="A158" s="26" t="inlineStr">
        <is>
          <t>NECK_PP448</t>
        </is>
      </c>
      <c r="B158" s="26" t="inlineStr">
        <is>
          <t>necklace</t>
        </is>
      </c>
      <c r="C158" s="26" t="inlineStr">
        <is>
          <t>Necklace - Photo Print 448</t>
        </is>
      </c>
      <c r="D158" s="26" t="inlineStr">
        <is>
          <t>Identifier: Photo Print 448</t>
        </is>
      </c>
      <c r="G158" s="35" t="n"/>
      <c r="H158" s="35" t="n"/>
      <c r="I158" s="35" t="n"/>
      <c r="J158" s="36">
        <f>IF(AND(G158&lt;&gt;"",I158&lt;&gt;""),G158-I158,"")</f>
        <v/>
      </c>
      <c r="K158" s="37">
        <f>IF(AND(G158&lt;&gt;"",G158&lt;&gt;0),J158/G158,"")</f>
        <v/>
      </c>
      <c r="L158" s="26" t="inlineStr">
        <is>
          <t>Photo Print 448</t>
        </is>
      </c>
      <c r="M158" s="38" t="inlineStr">
        <is>
          <t>https://cdn.shopify.com/s/files/1/0936/8656/3183/files/2025-08-13-15-07-46-793.jpg?v=1764404487</t>
        </is>
      </c>
    </row>
    <row r="159" ht="15" customHeight="1" s="27">
      <c r="A159" s="26" t="inlineStr">
        <is>
          <t>NECK_PP45</t>
        </is>
      </c>
      <c r="B159" s="26" t="inlineStr">
        <is>
          <t>necklace</t>
        </is>
      </c>
      <c r="C159" s="26" t="inlineStr">
        <is>
          <t>Necklace - Photo Print 45</t>
        </is>
      </c>
      <c r="D159" s="26" t="inlineStr">
        <is>
          <t>Identifier: Photo Print 45</t>
        </is>
      </c>
      <c r="G159" s="35" t="n"/>
      <c r="H159" s="35" t="n"/>
      <c r="I159" s="35" t="n"/>
      <c r="J159" s="36">
        <f>IF(AND(G159&lt;&gt;"",I159&lt;&gt;""),G159-I159,"")</f>
        <v/>
      </c>
      <c r="K159" s="37">
        <f>IF(AND(G159&lt;&gt;"",G159&lt;&gt;0),J159/G159,"")</f>
        <v/>
      </c>
      <c r="L159" s="26" t="inlineStr">
        <is>
          <t>Photo Print 45</t>
        </is>
      </c>
      <c r="M159" s="38" t="inlineStr">
        <is>
          <t>https://cdn.shopify.com/s/files/1/0936/8656/3183/files/PXL_20250819_193925175.jpg?v=1761563377</t>
        </is>
      </c>
    </row>
    <row r="160" ht="15" customHeight="1" s="27">
      <c r="A160" s="26" t="inlineStr">
        <is>
          <t>NECK_RED_CARNIVAL_GLASS_V</t>
        </is>
      </c>
      <c r="B160" s="26" t="inlineStr">
        <is>
          <t>necklace</t>
        </is>
      </c>
      <c r="C160" s="26" t="inlineStr">
        <is>
          <t>Red Carnival Glass, Vintage</t>
        </is>
      </c>
      <c r="D160" s="26" t="inlineStr">
        <is>
          <t>Identifier: Red Carnival Glass, Vintage</t>
        </is>
      </c>
      <c r="G160" s="35" t="n"/>
      <c r="H160" s="35" t="n"/>
      <c r="I160" s="35" t="n"/>
      <c r="J160" s="36">
        <f>IF(AND(G160&lt;&gt;"",I160&lt;&gt;""),G160-I160,"")</f>
        <v/>
      </c>
      <c r="K160" s="37">
        <f>IF(AND(G160&lt;&gt;"",G160&lt;&gt;0),J160/G160,"")</f>
        <v/>
      </c>
      <c r="L160" s="26" t="inlineStr">
        <is>
          <t>Red Carnival Glass, Vintage</t>
        </is>
      </c>
      <c r="M160" s="38" t="inlineStr">
        <is>
          <t>https://cdn.shopify.com/s/files/1/0936/8656/3183/files/2025-08-13-15-10-53-279.jpg?v=1764404082</t>
        </is>
      </c>
    </row>
    <row r="161" ht="15" customHeight="1" s="27">
      <c r="A161" s="26" t="inlineStr">
        <is>
          <t>NECK_VINTAGE_MULTI_LAYER_</t>
        </is>
      </c>
      <c r="B161" s="26" t="inlineStr">
        <is>
          <t>necklace</t>
        </is>
      </c>
      <c r="C161" s="26" t="inlineStr">
        <is>
          <t>vintage, multi layer, natural beads</t>
        </is>
      </c>
      <c r="D161" s="26" t="inlineStr">
        <is>
          <t>Identifier: vintage, multi layer, natural beads</t>
        </is>
      </c>
      <c r="G161" s="35" t="n"/>
      <c r="H161" s="35" t="n"/>
      <c r="I161" s="35" t="n"/>
      <c r="J161" s="36">
        <f>IF(AND(G161&lt;&gt;"",I161&lt;&gt;""),G161-I161,"")</f>
        <v/>
      </c>
      <c r="K161" s="37">
        <f>IF(AND(G161&lt;&gt;"",G161&lt;&gt;0),J161/G161,"")</f>
        <v/>
      </c>
      <c r="L161" s="26" t="inlineStr">
        <is>
          <t>vintage, multi layer, natural beads</t>
        </is>
      </c>
      <c r="M161" s="38" t="inlineStr">
        <is>
          <t>https://cdn.shopify.com/s/files/1/0936/8656/3183/files/2025-08-13-15-09-51-045.jpg?v=1764407350</t>
        </is>
      </c>
    </row>
    <row r="162" ht="15" customHeight="1" s="27">
      <c r="A162" s="26" t="inlineStr">
        <is>
          <t>NECK_VINTAGE___1000013</t>
        </is>
      </c>
      <c r="B162" s="26" t="inlineStr">
        <is>
          <t>necklace</t>
        </is>
      </c>
      <c r="C162" s="26" t="inlineStr">
        <is>
          <t>vintage - 1000013</t>
        </is>
      </c>
      <c r="D162" s="26" t="inlineStr">
        <is>
          <t>Identifier: vintage - 1000013</t>
        </is>
      </c>
      <c r="G162" s="35" t="n"/>
      <c r="H162" s="35" t="n"/>
      <c r="I162" s="35" t="n"/>
      <c r="J162" s="36">
        <f>IF(AND(G162&lt;&gt;"",I162&lt;&gt;""),G162-I162,"")</f>
        <v/>
      </c>
      <c r="K162" s="37">
        <f>IF(AND(G162&lt;&gt;"",G162&lt;&gt;0),J162/G162,"")</f>
        <v/>
      </c>
      <c r="L162" s="26" t="inlineStr">
        <is>
          <t>vintage - 1000013</t>
        </is>
      </c>
      <c r="M162" s="38" t="inlineStr">
        <is>
          <t>https://cdn.shopify.com/s/files/1/0936/8656/3183/files/2025-08-13-15-33-42-522.jpg?v=1763457059</t>
        </is>
      </c>
    </row>
    <row r="163" ht="15" customHeight="1" s="27">
      <c r="A163" s="26" t="inlineStr">
        <is>
          <t>NECK_VINTAGE___1000013_(2</t>
        </is>
      </c>
      <c r="B163" s="26" t="inlineStr">
        <is>
          <t>necklace</t>
        </is>
      </c>
      <c r="C163" s="26" t="inlineStr">
        <is>
          <t>vintage - 1000013 (2)</t>
        </is>
      </c>
      <c r="D163" s="26" t="inlineStr">
        <is>
          <t>Identifier: vintage - 1000013 (2)</t>
        </is>
      </c>
      <c r="G163" s="35" t="n"/>
      <c r="H163" s="35" t="n"/>
      <c r="I163" s="35" t="n"/>
      <c r="J163" s="36">
        <f>IF(AND(G163&lt;&gt;"",I163&lt;&gt;""),G163-I163,"")</f>
        <v/>
      </c>
      <c r="K163" s="37">
        <f>IF(AND(G163&lt;&gt;"",G163&lt;&gt;0),J163/G163,"")</f>
        <v/>
      </c>
      <c r="L163" s="26" t="inlineStr">
        <is>
          <t>vintage - 1000013 (2)</t>
        </is>
      </c>
      <c r="M163" s="38" t="inlineStr">
        <is>
          <t>https://cdn.shopify.com/s/files/1/0936/8656/3183/files/2025-08-13-15-36-36-791.jpg?v=1763457129</t>
        </is>
      </c>
    </row>
    <row r="164" ht="15" customHeight="1" s="27">
      <c r="A164" s="26" t="inlineStr">
        <is>
          <t>NK_AB_</t>
        </is>
      </c>
      <c r="B164" s="26" t="inlineStr">
        <is>
          <t>necklace</t>
        </is>
      </c>
      <c r="C164" s="26" t="inlineStr">
        <is>
          <t>Artisan Beaded Multi-Strand:</t>
        </is>
      </c>
      <c r="D164" s="26" t="inlineStr">
        <is>
          <t xml:space="preserve"> A three-strand piece featuring a mix of black faceted beads, clear crystals, and small pink accents. This appears to be an artisan piece due to the varied bead shapes and rhythmic pattern.</t>
        </is>
      </c>
      <c r="E164" s="26" t="inlineStr">
        <is>
          <t>Mixed Materials</t>
        </is>
      </c>
      <c r="G164" s="35" t="n">
        <v>135</v>
      </c>
      <c r="H164" s="35" t="n"/>
      <c r="I164" s="35" t="n"/>
      <c r="J164" s="36">
        <f>IF(AND(G164&lt;&gt;"",I164&lt;&gt;""),G164-I164,"")</f>
        <v/>
      </c>
      <c r="K164" s="37">
        <f>IF(AND(G164&lt;&gt;"",G164&lt;&gt;0),J164/G164,"")</f>
        <v/>
      </c>
      <c r="L164" s="26" t="inlineStr">
        <is>
          <t>SKU: NK-AB-</t>
        </is>
      </c>
    </row>
    <row r="165" ht="15" customHeight="1" s="27">
      <c r="A165" s="26" t="inlineStr">
        <is>
          <t>NK_AG_</t>
        </is>
      </c>
      <c r="B165" s="26" t="inlineStr">
        <is>
          <t>necklace</t>
        </is>
      </c>
      <c r="C165" s="26" t="inlineStr">
        <is>
          <t>Amber Glass Lariat:</t>
        </is>
      </c>
      <c r="D165" s="26" t="inlineStr">
        <is>
          <t>Amber Glass Lariat: Artisan Handcrafted Amber Glass Teardrop Pendant on Cord Lariat Necklace.</t>
        </is>
      </c>
      <c r="G165" s="35" t="n"/>
      <c r="H165" s="35" t="n"/>
      <c r="I165" s="35" t="n"/>
      <c r="J165" s="36">
        <f>IF(AND(G165&lt;&gt;"",I165&lt;&gt;""),G165-I165,"")</f>
        <v/>
      </c>
      <c r="K165" s="37">
        <f>IF(AND(G165&lt;&gt;"",G165&lt;&gt;0),J165/G165,"")</f>
        <v/>
      </c>
      <c r="L165" s="26" t="inlineStr">
        <is>
          <t>SKU: NK-AG-</t>
        </is>
      </c>
    </row>
    <row r="166" ht="15" customHeight="1" s="27">
      <c r="A166" s="26" t="inlineStr">
        <is>
          <t>NK_AP_ST_083</t>
        </is>
      </c>
      <c r="B166" s="26" t="inlineStr">
        <is>
          <t>necklace</t>
        </is>
      </c>
      <c r="C166" s="26" t="inlineStr">
        <is>
          <t>Animal Print Chunky</t>
        </is>
      </c>
      <c r="D166" s="26" t="inlineStr">
        <is>
          <t>Black &amp; mixed leopard/zebra print focal bead necklace.</t>
        </is>
      </c>
      <c r="G166" s="35" t="n">
        <v>33</v>
      </c>
      <c r="H166" s="35" t="n"/>
      <c r="I166" s="35" t="n"/>
      <c r="J166" s="36">
        <f>IF(AND(G166&lt;&gt;"",I166&lt;&gt;""),G166-I166,"")</f>
        <v/>
      </c>
      <c r="K166" s="37">
        <f>IF(AND(G166&lt;&gt;"",G166&lt;&gt;0),J166/G166,"")</f>
        <v/>
      </c>
      <c r="L166" s="26" t="inlineStr">
        <is>
          <t>SKU: NK-AP-ST-083</t>
        </is>
      </c>
    </row>
    <row r="167" ht="15" customHeight="1" s="27">
      <c r="A167" s="26" t="inlineStr">
        <is>
          <t>NK_BF_</t>
        </is>
      </c>
      <c r="B167" s="26" t="inlineStr">
        <is>
          <t>necklace</t>
        </is>
      </c>
      <c r="C167" s="26" t="inlineStr">
        <is>
          <t>Blue Filigree Silver Y-Necklace:</t>
        </is>
      </c>
      <c r="D167" s="26" t="inlineStr">
        <is>
          <t xml:space="preserve"> Delicate Silver-Tone Filigree Y-Necklace with Blue Stone Accents.</t>
        </is>
      </c>
      <c r="G167" s="35" t="n"/>
      <c r="H167" s="35" t="n"/>
      <c r="I167" s="35" t="n"/>
      <c r="J167" s="36">
        <f>IF(AND(G167&lt;&gt;"",I167&lt;&gt;""),G167-I167,"")</f>
        <v/>
      </c>
      <c r="K167" s="37">
        <f>IF(AND(G167&lt;&gt;"",G167&lt;&gt;0),J167/G167,"")</f>
        <v/>
      </c>
      <c r="L167" s="26" t="inlineStr">
        <is>
          <t>SKU: NK-BF-</t>
        </is>
      </c>
    </row>
    <row r="168" ht="15" customHeight="1" s="27">
      <c r="A168" s="26" t="inlineStr">
        <is>
          <t>NK_BG</t>
        </is>
      </c>
      <c r="B168" s="26" t="inlineStr">
        <is>
          <t>necklace</t>
        </is>
      </c>
      <c r="C168" s="26" t="inlineStr">
        <is>
          <t>Blue Glass Bead Double Strand:</t>
        </is>
      </c>
      <c r="D168" s="26" t="inlineStr">
        <is>
          <t>Vintage Double Strand Light Blue Faceted Glass Bead Choker Necklace.</t>
        </is>
      </c>
      <c r="E168" s="26" t="inlineStr">
        <is>
          <t>Mixed Materials</t>
        </is>
      </c>
      <c r="G168" s="35" t="n"/>
      <c r="H168" s="35" t="n"/>
      <c r="I168" s="35" t="n"/>
      <c r="J168" s="36">
        <f>IF(AND(G168&lt;&gt;"",I168&lt;&gt;""),G168-I168,"")</f>
        <v/>
      </c>
      <c r="K168" s="37">
        <f>IF(AND(G168&lt;&gt;"",G168&lt;&gt;0),J168/G168,"")</f>
        <v/>
      </c>
      <c r="L168" s="26" t="inlineStr">
        <is>
          <t>SKU: NK-BG</t>
        </is>
      </c>
    </row>
    <row r="169" ht="15" customHeight="1" s="27">
      <c r="A169" s="26" t="inlineStr">
        <is>
          <t>NK_BK_BE_012</t>
        </is>
      </c>
      <c r="B169" s="26" t="inlineStr">
        <is>
          <t>necklace</t>
        </is>
      </c>
      <c r="C169" s="26" t="inlineStr">
        <is>
          <t>Vintage Multi-Strand Black &amp; Silver Seed Bead Necklace</t>
        </is>
      </c>
      <c r="D169" s="26" t="inlineStr">
        <is>
          <t>Multi-strand cascading waterfall design with black and silver seed beads.</t>
        </is>
      </c>
      <c r="E169" s="26" t="inlineStr">
        <is>
          <t>Mixed Materials</t>
        </is>
      </c>
      <c r="G169" s="35" t="n">
        <v>32.5</v>
      </c>
      <c r="H169" s="35" t="n"/>
      <c r="I169" s="35" t="n"/>
      <c r="J169" s="36">
        <f>IF(AND(G169&lt;&gt;"",I169&lt;&gt;""),G169-I169,"")</f>
        <v/>
      </c>
      <c r="K169" s="37">
        <f>IF(AND(G169&lt;&gt;"",G169&lt;&gt;0),J169/G169,"")</f>
        <v/>
      </c>
      <c r="L169" s="26" t="inlineStr">
        <is>
          <t>1980s style. Check for "925" for Liquid Silver value.</t>
        </is>
      </c>
    </row>
    <row r="170" ht="15" customHeight="1" s="27">
      <c r="A170" s="26" t="inlineStr">
        <is>
          <t>NK_BK_BE_013</t>
        </is>
      </c>
      <c r="B170" s="26" t="inlineStr">
        <is>
          <t>necklace</t>
        </is>
      </c>
      <c r="C170" s="26" t="inlineStr">
        <is>
          <t>Vintage 5-Strand Black Waterfall Focal Necklace</t>
        </is>
      </c>
      <c r="D170" s="26" t="inlineStr">
        <is>
          <t>5-strand cascading necklace with faceted black beads and patterned focal points.</t>
        </is>
      </c>
      <c r="G170" s="35" t="n">
        <v>40</v>
      </c>
      <c r="H170" s="35" t="n"/>
      <c r="I170" s="35" t="n"/>
      <c r="J170" s="36">
        <f>IF(AND(G170&lt;&gt;"",I170&lt;&gt;""),G170-I170,"")</f>
        <v/>
      </c>
      <c r="K170" s="37">
        <f>IF(AND(G170&lt;&gt;"",G170&lt;&gt;0),J170/G170,"")</f>
        <v/>
      </c>
      <c r="L170" s="26" t="inlineStr">
        <is>
          <t>1980s statement piece. Higher value if signed (e.g., Trifari).</t>
        </is>
      </c>
    </row>
    <row r="171" ht="15" customHeight="1" s="27">
      <c r="A171" s="26" t="inlineStr">
        <is>
          <t>NK_BK_CL_086</t>
        </is>
      </c>
      <c r="B171" s="26" t="inlineStr">
        <is>
          <t>necklace</t>
        </is>
      </c>
      <c r="C171" s="26" t="inlineStr">
        <is>
          <t>80s Resin Bib</t>
        </is>
      </c>
      <c r="D171" s="26" t="inlineStr">
        <is>
          <t>Chunky asymmetrical black &amp; clear resin link statement.</t>
        </is>
      </c>
      <c r="G171" s="35" t="n">
        <v>42.5</v>
      </c>
      <c r="H171" s="35" t="n"/>
      <c r="I171" s="35" t="n"/>
      <c r="J171" s="36">
        <f>IF(AND(G171&lt;&gt;"",I171&lt;&gt;""),G171-I171,"")</f>
        <v/>
      </c>
      <c r="K171" s="37">
        <f>IF(AND(G171&lt;&gt;"",G171&lt;&gt;0),J171/G171,"")</f>
        <v/>
      </c>
      <c r="L171" s="26" t="inlineStr">
        <is>
          <t>SKU: NK-BK-CL-086</t>
        </is>
      </c>
    </row>
    <row r="172" ht="15" customHeight="1" s="27">
      <c r="A172" s="26" t="inlineStr">
        <is>
          <t>NK_BK_CP_088</t>
        </is>
      </c>
      <c r="B172" s="26" t="inlineStr">
        <is>
          <t>necklace</t>
        </is>
      </c>
      <c r="C172" s="26" t="inlineStr">
        <is>
          <t>Venetian Lampwork</t>
        </is>
      </c>
      <c r="D172" s="26" t="inlineStr">
        <is>
          <t>Black heart pendant with copper swirls on seed beads.</t>
        </is>
      </c>
      <c r="G172" s="35" t="n">
        <v>55</v>
      </c>
      <c r="H172" s="35" t="n"/>
      <c r="I172" s="35" t="n"/>
      <c r="J172" s="36">
        <f>IF(AND(G172&lt;&gt;"",I172&lt;&gt;""),G172-I172,"")</f>
        <v/>
      </c>
      <c r="K172" s="37">
        <f>IF(AND(G172&lt;&gt;"",G172&lt;&gt;0),J172/G172,"")</f>
        <v/>
      </c>
      <c r="L172" s="26" t="inlineStr">
        <is>
          <t>SKU: NK-BK-CP-088</t>
        </is>
      </c>
    </row>
    <row r="173" ht="15" customHeight="1" s="27">
      <c r="A173" s="26" t="inlineStr">
        <is>
          <t>NK_BK_GT_090</t>
        </is>
      </c>
      <c r="B173" s="26" t="inlineStr">
        <is>
          <t>necklace</t>
        </is>
      </c>
      <c r="C173" s="26" t="inlineStr">
        <is>
          <t>Carved Black Focal</t>
        </is>
      </c>
      <c r="D173" s="26" t="inlineStr">
        <is>
          <t>Chunky carved matte black &amp; gold-tone station bib.</t>
        </is>
      </c>
      <c r="G173" s="35" t="n">
        <v>36.5</v>
      </c>
      <c r="H173" s="35" t="n"/>
      <c r="I173" s="35" t="n"/>
      <c r="J173" s="36">
        <f>IF(AND(G173&lt;&gt;"",I173&lt;&gt;""),G173-I173,"")</f>
        <v/>
      </c>
      <c r="K173" s="37">
        <f>IF(AND(G173&lt;&gt;"",G173&lt;&gt;0),J173/G173,"")</f>
        <v/>
      </c>
      <c r="L173" s="26" t="inlineStr">
        <is>
          <t>SKU: NK-BK-GT-090</t>
        </is>
      </c>
    </row>
    <row r="174" ht="15" customHeight="1" s="27">
      <c r="A174" s="26" t="inlineStr">
        <is>
          <t>NK_BK_PD_032</t>
        </is>
      </c>
      <c r="B174" s="26" t="inlineStr">
        <is>
          <t>necklace</t>
        </is>
      </c>
      <c r="C174" s="26" t="inlineStr">
        <is>
          <t>Black Bead Y-Necklace with Leaf Tassel Drop</t>
        </is>
      </c>
      <c r="D174" s="26" t="inlineStr">
        <is>
          <t>Black bead chain with a tiered drop and three silver-tone leaf charms.</t>
        </is>
      </c>
      <c r="E174" s="26" t="inlineStr">
        <is>
          <t>Mixed Materials</t>
        </is>
      </c>
      <c r="G174" s="35" t="n">
        <v>27.5</v>
      </c>
      <c r="H174" s="35" t="n"/>
      <c r="I174" s="35" t="n"/>
      <c r="J174" s="36">
        <f>IF(AND(G174&lt;&gt;"",I174&lt;&gt;""),G174-I174,"")</f>
        <v/>
      </c>
      <c r="K174" s="37">
        <f>IF(AND(G174&lt;&gt;"",G174&lt;&gt;0),J174/G174,"")</f>
        <v/>
      </c>
      <c r="L174" s="26" t="inlineStr">
        <is>
          <t>Nature-inspired Y2K/Vintage style.</t>
        </is>
      </c>
    </row>
    <row r="175" ht="15" customHeight="1" s="27">
      <c r="A175" s="26" t="inlineStr">
        <is>
          <t>NK_BK_ST_031</t>
        </is>
      </c>
      <c r="B175" s="26" t="inlineStr">
        <is>
          <t>necklace</t>
        </is>
      </c>
      <c r="C175" s="26" t="inlineStr">
        <is>
          <t>Beaded Black &amp; Silver Striped Necktie Necklace</t>
        </is>
      </c>
      <c r="D175" s="26" t="inlineStr">
        <is>
          <t>Hand-beaded necktie shape with diagonal monochrome stripes.</t>
        </is>
      </c>
      <c r="E175" s="26" t="inlineStr">
        <is>
          <t>Mixed Materials</t>
        </is>
      </c>
      <c r="G175" s="35" t="n">
        <v>50</v>
      </c>
      <c r="H175" s="35" t="n"/>
      <c r="I175" s="35" t="n"/>
      <c r="J175" s="36">
        <f>IF(AND(G175&lt;&gt;"",I175&lt;&gt;""),G175-I175,"")</f>
        <v/>
      </c>
      <c r="K175" s="37">
        <f>IF(AND(G175&lt;&gt;"",G175&lt;&gt;0),J175/G175,"")</f>
        <v/>
      </c>
      <c r="L175" s="26" t="inlineStr">
        <is>
          <t>Dramatic 80s "power dressing" accessory.</t>
        </is>
      </c>
    </row>
    <row r="176" ht="15" customHeight="1" s="27">
      <c r="A176" s="26" t="inlineStr">
        <is>
          <t>NK_BK_ST_033</t>
        </is>
      </c>
      <c r="B176" s="26" t="inlineStr">
        <is>
          <t>necklace</t>
        </is>
      </c>
      <c r="C176" s="26" t="inlineStr">
        <is>
          <t>Chunky Black Organic Stone Statement Necklace</t>
        </is>
      </c>
      <c r="D176" s="26" t="inlineStr">
        <is>
          <t>Large polished black "river rock" stones with faceted metallic spacers.</t>
        </is>
      </c>
      <c r="G176" s="35" t="n">
        <v>40</v>
      </c>
      <c r="H176" s="35" t="n"/>
      <c r="I176" s="35" t="n"/>
      <c r="J176" s="36">
        <f>IF(AND(G176&lt;&gt;"",I176&lt;&gt;""),G176-I176,"")</f>
        <v/>
      </c>
      <c r="K176" s="37">
        <f>IF(AND(G176&lt;&gt;"",G176&lt;&gt;0),J176/G176,"")</f>
        <v/>
      </c>
      <c r="L176" s="26" t="inlineStr">
        <is>
          <t>Bold Boho-Chic aesthetic. Check for genuine onyx.</t>
        </is>
      </c>
    </row>
    <row r="177" ht="15" customHeight="1" s="27">
      <c r="A177" s="26" t="inlineStr">
        <is>
          <t>NK_BK_ST_037</t>
        </is>
      </c>
      <c r="B177" s="26" t="inlineStr">
        <is>
          <t>necklace</t>
        </is>
      </c>
      <c r="C177" s="26" t="inlineStr">
        <is>
          <t>Hematite-Style Necklace with Silver Filigree Caps</t>
        </is>
      </c>
      <c r="D177" s="26" t="inlineStr">
        <is>
          <t>Double strand of high-luster black beads with antiqued filigree caps.</t>
        </is>
      </c>
      <c r="G177" s="35" t="n">
        <v>45</v>
      </c>
      <c r="H177" s="35" t="n"/>
      <c r="I177" s="35" t="n"/>
      <c r="J177" s="36">
        <f>IF(AND(G177&lt;&gt;"",I177&lt;&gt;""),G177-I177,"")</f>
        <v/>
      </c>
      <c r="K177" s="37">
        <f>IF(AND(G177&lt;&gt;"",G177&lt;&gt;0),J177/G177,"")</f>
        <v/>
      </c>
      <c r="L177" s="26" t="inlineStr">
        <is>
          <t>Victorian Revival style. Higher value if signed.</t>
        </is>
      </c>
    </row>
    <row r="178" ht="15" customHeight="1" s="27">
      <c r="A178" s="26" t="inlineStr">
        <is>
          <t>NK_BK_ST_082</t>
        </is>
      </c>
      <c r="B178" s="26" t="inlineStr">
        <is>
          <t>necklace</t>
        </is>
      </c>
      <c r="C178" s="26" t="inlineStr">
        <is>
          <t>80s Black Seed Bead</t>
        </is>
      </c>
      <c r="D178" s="26" t="inlineStr">
        <is>
          <t>Dramatic 10+ strand black seed bead &amp; sphere collar.</t>
        </is>
      </c>
      <c r="E178" s="26" t="inlineStr">
        <is>
          <t>Mixed Materials</t>
        </is>
      </c>
      <c r="G178" s="35" t="n">
        <v>28.5</v>
      </c>
      <c r="H178" s="35" t="n"/>
      <c r="I178" s="35" t="n"/>
      <c r="J178" s="36">
        <f>IF(AND(G178&lt;&gt;"",I178&lt;&gt;""),G178-I178,"")</f>
        <v/>
      </c>
      <c r="K178" s="37">
        <f>IF(AND(G178&lt;&gt;"",G178&lt;&gt;0),J178/G178,"")</f>
        <v/>
      </c>
      <c r="L178" s="26" t="inlineStr">
        <is>
          <t>SKU: NK-BK-ST-082</t>
        </is>
      </c>
    </row>
    <row r="179" ht="15" customHeight="1" s="27">
      <c r="A179" s="26" t="inlineStr">
        <is>
          <t>NK_BL_AB_097</t>
        </is>
      </c>
      <c r="B179" s="26" t="inlineStr">
        <is>
          <t>necklace</t>
        </is>
      </c>
      <c r="C179" s="26" t="inlineStr">
        <is>
          <t>Blue AB Crystal</t>
        </is>
      </c>
      <c r="D179" s="26" t="inlineStr">
        <is>
          <t>1950s graduated blue Aurora Borealis glass necklace.</t>
        </is>
      </c>
      <c r="G179" s="35" t="n">
        <v>50</v>
      </c>
      <c r="H179" s="35" t="n"/>
      <c r="I179" s="35" t="n"/>
      <c r="J179" s="36">
        <f>IF(AND(G179&lt;&gt;"",I179&lt;&gt;""),G179-I179,"")</f>
        <v/>
      </c>
      <c r="K179" s="37">
        <f>IF(AND(G179&lt;&gt;"",G179&lt;&gt;0),J179/G179,"")</f>
        <v/>
      </c>
      <c r="L179" s="26" t="inlineStr">
        <is>
          <t>SKU: NK-BL-AB-097</t>
        </is>
      </c>
    </row>
    <row r="180" ht="15" customHeight="1" s="27">
      <c r="A180" s="26" t="inlineStr">
        <is>
          <t>NK_BL_BE_027</t>
        </is>
      </c>
      <c r="B180" s="26" t="inlineStr">
        <is>
          <t>necklace</t>
        </is>
      </c>
      <c r="C180" s="26" t="inlineStr">
        <is>
          <t>Vintage Blue &amp; Gold Multi-Media Station Necklace</t>
        </is>
      </c>
      <c r="D180" s="26" t="inlineStr">
        <is>
          <t>Long strand with faceted glass, frosted resin, and turquoise-style beads.</t>
        </is>
      </c>
      <c r="G180" s="35" t="n">
        <v>37.5</v>
      </c>
      <c r="H180" s="35" t="n"/>
      <c r="I180" s="35" t="n"/>
      <c r="J180" s="36">
        <f>IF(AND(G180&lt;&gt;"",I180&lt;&gt;""),G180-I180,"")</f>
        <v/>
      </c>
      <c r="K180" s="37">
        <f>IF(AND(G180&lt;&gt;"",G180&lt;&gt;0),J180/G180,"")</f>
        <v/>
      </c>
      <c r="L180" s="26" t="inlineStr">
        <is>
          <t>Eclectic Boho-Chic style from the 90s/00s.</t>
        </is>
      </c>
    </row>
    <row r="181" ht="15" customHeight="1" s="27">
      <c r="A181" s="26" t="inlineStr">
        <is>
          <t>NK_BR_TQ_095</t>
        </is>
      </c>
      <c r="B181" s="26" t="inlineStr">
        <is>
          <t>necklace</t>
        </is>
      </c>
      <c r="C181" s="26" t="inlineStr">
        <is>
          <t>Brass Fan Bib</t>
        </is>
      </c>
      <c r="D181" s="26" t="inlineStr">
        <is>
          <t>Geometric brass fans with turquoise-style inlays.</t>
        </is>
      </c>
      <c r="G181" s="35" t="n">
        <v>36.5</v>
      </c>
      <c r="H181" s="35" t="n"/>
      <c r="I181" s="35" t="n"/>
      <c r="J181" s="36">
        <f>IF(AND(G181&lt;&gt;"",I181&lt;&gt;""),G181-I181,"")</f>
        <v/>
      </c>
      <c r="K181" s="37">
        <f>IF(AND(G181&lt;&gt;"",G181&lt;&gt;0),J181/G181,"")</f>
        <v/>
      </c>
      <c r="L181" s="26" t="inlineStr">
        <is>
          <t>SKU: NK-BR-TQ-095</t>
        </is>
      </c>
    </row>
    <row r="182" ht="15" customHeight="1" s="27">
      <c r="A182" s="26" t="inlineStr">
        <is>
          <t>NK_BS_</t>
        </is>
      </c>
      <c r="B182" s="26" t="inlineStr">
        <is>
          <t>necklace</t>
        </is>
      </c>
      <c r="C182" s="26" t="inlineStr">
        <is>
          <t>Black Seed Bead Multi-Strand:</t>
        </is>
      </c>
      <c r="D182" s="26" t="inlineStr">
        <is>
          <t>Modern Four-Strand Black Seed Bead Draped Statement Necklace.</t>
        </is>
      </c>
      <c r="E182" s="26" t="inlineStr">
        <is>
          <t>Mixed Materials</t>
        </is>
      </c>
      <c r="G182" s="35" t="n"/>
      <c r="H182" s="35" t="n"/>
      <c r="I182" s="35" t="n"/>
      <c r="J182" s="36">
        <f>IF(AND(G182&lt;&gt;"",I182&lt;&gt;""),G182-I182,"")</f>
        <v/>
      </c>
      <c r="K182" s="37">
        <f>IF(AND(G182&lt;&gt;"",G182&lt;&gt;0),J182/G182,"")</f>
        <v/>
      </c>
      <c r="L182" s="26" t="inlineStr">
        <is>
          <t>SKU: NK-BS-</t>
        </is>
      </c>
    </row>
    <row r="183" ht="15" customHeight="1" s="27">
      <c r="A183" s="26" t="inlineStr">
        <is>
          <t>NK_BW_</t>
        </is>
      </c>
      <c r="B183" s="26" t="inlineStr">
        <is>
          <t>necklace</t>
        </is>
      </c>
      <c r="C183" s="26" t="inlineStr">
        <is>
          <t>Blue and White Stone Fringe:</t>
        </is>
      </c>
      <c r="D183" s="26" t="inlineStr">
        <is>
          <t>A striking two-strand necklace with vertical "fringe" stones in shades of light blue and white. The raw, rectangular shapes of the stones give it a modern, handcrafted look.</t>
        </is>
      </c>
      <c r="G183" s="35" t="n">
        <v>110</v>
      </c>
      <c r="H183" s="35" t="n"/>
      <c r="I183" s="35" t="n"/>
      <c r="J183" s="36">
        <f>IF(AND(G183&lt;&gt;"",I183&lt;&gt;""),G183-I183,"")</f>
        <v/>
      </c>
      <c r="K183" s="37">
        <f>IF(AND(G183&lt;&gt;"",G183&lt;&gt;0),J183/G183,"")</f>
        <v/>
      </c>
      <c r="L183" s="26" t="inlineStr">
        <is>
          <t>SKU: NK-BW-</t>
        </is>
      </c>
    </row>
    <row r="184" ht="15" customHeight="1" s="27">
      <c r="A184" s="26" t="inlineStr">
        <is>
          <t>NK_BW_ST_036</t>
        </is>
      </c>
      <c r="B184" s="26" t="inlineStr">
        <is>
          <t>necklace</t>
        </is>
      </c>
      <c r="C184" s="26" t="inlineStr">
        <is>
          <t>Black &amp; White Geometric Striped Bead Necklace</t>
        </is>
      </c>
      <c r="D184" s="26" t="inlineStr">
        <is>
          <t>Monochrome strand with black faceted beads and striped focal spacers.</t>
        </is>
      </c>
      <c r="E184" s="26" t="inlineStr">
        <is>
          <t>Mixed Materials</t>
        </is>
      </c>
      <c r="G184" s="35" t="n">
        <v>31.5</v>
      </c>
      <c r="H184" s="35" t="n"/>
      <c r="I184" s="35" t="n"/>
      <c r="J184" s="36">
        <f>IF(AND(G184&lt;&gt;"",I184&lt;&gt;""),G184-I184,"")</f>
        <v/>
      </c>
      <c r="K184" s="37">
        <f>IF(AND(G184&lt;&gt;"",G184&lt;&gt;0),J184/G184,"")</f>
        <v/>
      </c>
      <c r="L184" s="26" t="inlineStr">
        <is>
          <t>Retro 80s/90s Mod revival aesthetic.</t>
        </is>
      </c>
    </row>
    <row r="185" ht="15" customHeight="1" s="27">
      <c r="A185" s="26" t="inlineStr">
        <is>
          <t>NK_CM</t>
        </is>
      </c>
      <c r="B185" s="26" t="inlineStr">
        <is>
          <t>necklace</t>
        </is>
      </c>
      <c r="C185" s="26" t="inlineStr">
        <is>
          <t>Cream Multi-Strand Pearl:</t>
        </is>
      </c>
      <c r="D185" s="26" t="inlineStr">
        <is>
          <t xml:space="preserve"> Vintage Mid-Century Triple Strand Cream Faux Pearl Necklace with Crystal Accents.</t>
        </is>
      </c>
      <c r="G185" s="35" t="n"/>
      <c r="H185" s="35" t="n"/>
      <c r="I185" s="35" t="n"/>
      <c r="J185" s="36">
        <f>IF(AND(G185&lt;&gt;"",I185&lt;&gt;""),G185-I185,"")</f>
        <v/>
      </c>
      <c r="K185" s="37">
        <f>IF(AND(G185&lt;&gt;"",G185&lt;&gt;0),J185/G185,"")</f>
        <v/>
      </c>
      <c r="L185" s="26" t="inlineStr">
        <is>
          <t>SKU: NK-CM</t>
        </is>
      </c>
    </row>
    <row r="186" ht="15" customHeight="1" s="27">
      <c r="A186" s="26" t="inlineStr">
        <is>
          <t>NK_CT_</t>
        </is>
      </c>
      <c r="B186" s="26" t="inlineStr">
        <is>
          <t>necklace</t>
        </is>
      </c>
      <c r="C186" s="26" t="inlineStr">
        <is>
          <t>Classic Triple-Strand Pink Pearl:</t>
        </is>
      </c>
      <c r="D186" s="26" t="inlineStr">
        <is>
          <t>A vintage-style triple strand of uniform light-pink faux pearls. This is a timeless design often seen in mid-century fashion.</t>
        </is>
      </c>
      <c r="G186" s="35" t="n">
        <v>27.5</v>
      </c>
      <c r="H186" s="35" t="n"/>
      <c r="I186" s="35" t="n"/>
      <c r="J186" s="36">
        <f>IF(AND(G186&lt;&gt;"",I186&lt;&gt;""),G186-I186,"")</f>
        <v/>
      </c>
      <c r="K186" s="37">
        <f>IF(AND(G186&lt;&gt;"",G186&lt;&gt;0),J186/G186,"")</f>
        <v/>
      </c>
      <c r="L186" s="26" t="inlineStr">
        <is>
          <t>SKU: NK-CT-</t>
        </is>
      </c>
    </row>
    <row r="187" ht="15" customHeight="1" s="27">
      <c r="A187" s="26" t="inlineStr">
        <is>
          <t>NK_CW_</t>
        </is>
      </c>
      <c r="B187" s="26" t="inlineStr">
        <is>
          <t>necklace</t>
        </is>
      </c>
      <c r="C187" s="26" t="inlineStr">
        <is>
          <t>Classic White Pearl Single Strand:</t>
        </is>
      </c>
      <c r="D187" s="26" t="inlineStr">
        <is>
          <t>Timeless Single Strand White Faux Pearl Princess Length Necklace.</t>
        </is>
      </c>
      <c r="G187" s="35" t="n"/>
      <c r="H187" s="35" t="n"/>
      <c r="I187" s="35" t="n"/>
      <c r="J187" s="36">
        <f>IF(AND(G187&lt;&gt;"",I187&lt;&gt;""),G187-I187,"")</f>
        <v/>
      </c>
      <c r="K187" s="37">
        <f>IF(AND(G187&lt;&gt;"",G187&lt;&gt;0),J187/G187,"")</f>
        <v/>
      </c>
      <c r="L187" s="26" t="inlineStr">
        <is>
          <t>SKU: NK-CW-</t>
        </is>
      </c>
    </row>
    <row r="188" ht="15" customHeight="1" s="27">
      <c r="A188" s="26" t="inlineStr">
        <is>
          <t>NK_DR_</t>
        </is>
      </c>
      <c r="B188" s="26" t="inlineStr">
        <is>
          <t>necklace</t>
        </is>
      </c>
      <c r="C188" s="26" t="inlineStr">
        <is>
          <t>Deep Red &amp; Cream Double Strand:</t>
        </is>
      </c>
      <c r="D188" s="26" t="inlineStr">
        <is>
          <t>Classic Double Strand Red and Cream Seed Bead Minimalist Necklace.</t>
        </is>
      </c>
      <c r="G188" s="35" t="n"/>
      <c r="H188" s="35" t="n"/>
      <c r="I188" s="35" t="n"/>
      <c r="J188" s="36">
        <f>IF(AND(G188&lt;&gt;"",I188&lt;&gt;""),G188-I188,"")</f>
        <v/>
      </c>
      <c r="K188" s="37">
        <f>IF(AND(G188&lt;&gt;"",G188&lt;&gt;0),J188/G188,"")</f>
        <v/>
      </c>
      <c r="L188" s="26" t="inlineStr">
        <is>
          <t>SKU: NK-DR-</t>
        </is>
      </c>
    </row>
    <row r="189" ht="15" customHeight="1" s="27">
      <c r="A189" s="26" t="inlineStr">
        <is>
          <t>NK_ET_MM_038</t>
        </is>
      </c>
      <c r="B189" s="26" t="inlineStr">
        <is>
          <t>necklace</t>
        </is>
      </c>
      <c r="C189" s="26" t="inlineStr">
        <is>
          <t>Mixed Media Earth Tone Tassel Necklace</t>
        </is>
      </c>
      <c r="D189" s="26" t="inlineStr">
        <is>
          <t>Long strand with jasper-style beads, butterfly charm, and intaglio tassel.</t>
        </is>
      </c>
      <c r="G189" s="35" t="n">
        <v>90</v>
      </c>
      <c r="H189" s="35" t="n"/>
      <c r="I189" s="35" t="n"/>
      <c r="J189" s="36">
        <f>IF(AND(G189&lt;&gt;"",I189&lt;&gt;""),G189-I189,"")</f>
        <v/>
      </c>
      <c r="K189" s="37">
        <f>IF(AND(G189&lt;&gt;"",G189&lt;&gt;0),J189/G189,"")</f>
        <v/>
      </c>
      <c r="L189" s="26" t="inlineStr">
        <is>
          <t>Elaborate artisan "boho" statement piece.</t>
        </is>
      </c>
    </row>
    <row r="190" ht="15" customHeight="1" s="27">
      <c r="A190" s="26" t="inlineStr">
        <is>
          <t>NK_FD</t>
        </is>
      </c>
      <c r="B190" s="26" t="inlineStr">
        <is>
          <t>necklace</t>
        </is>
      </c>
      <c r="C190" s="26" t="inlineStr">
        <is>
          <t>Floral Decal Oval Beads</t>
        </is>
      </c>
      <c r="D190" s="26" t="inlineStr">
        <is>
          <t xml:space="preserve"> Artisan Vintage-Style Cream Oval Beads with Painted Floral Decals and Gold Spacers.</t>
        </is>
      </c>
      <c r="E190" s="26" t="inlineStr">
        <is>
          <t>Mixed Materials</t>
        </is>
      </c>
      <c r="G190" s="35" t="n"/>
      <c r="H190" s="35" t="n"/>
      <c r="I190" s="35" t="n"/>
      <c r="J190" s="36">
        <f>IF(AND(G190&lt;&gt;"",I190&lt;&gt;""),G190-I190,"")</f>
        <v/>
      </c>
      <c r="K190" s="37">
        <f>IF(AND(G190&lt;&gt;"",G190&lt;&gt;0),J190/G190,"")</f>
        <v/>
      </c>
      <c r="L190" s="26" t="inlineStr">
        <is>
          <t>SKU: NK-FD</t>
        </is>
      </c>
    </row>
    <row r="191" ht="15" customHeight="1" s="27">
      <c r="A191" s="26" t="inlineStr">
        <is>
          <t>NK_GF_PD_003</t>
        </is>
      </c>
      <c r="B191" s="26" t="inlineStr">
        <is>
          <t>necklace</t>
        </is>
      </c>
      <c r="C191" s="26" t="inlineStr">
        <is>
          <t>Vintage Gold Tone Honey Amber Pendant Necklace</t>
        </is>
      </c>
      <c r="D191" s="26" t="inlineStr">
        <is>
          <t>Geometric triangular honey-amber stone in a gold-tone bezel setting.</t>
        </is>
      </c>
      <c r="E191" s="26" t="inlineStr">
        <is>
          <t>Gold Tone</t>
        </is>
      </c>
      <c r="G191" s="35" t="n">
        <v>50</v>
      </c>
      <c r="H191" s="35" t="n"/>
      <c r="I191" s="35" t="n"/>
      <c r="J191" s="36">
        <f>IF(AND(G191&lt;&gt;"",I191&lt;&gt;""),G191-I191,"")</f>
        <v/>
      </c>
      <c r="K191" s="37">
        <f>IF(AND(G191&lt;&gt;"",G191&lt;&gt;0),J191/G191,"")</f>
        <v/>
      </c>
      <c r="L191" s="26" t="inlineStr">
        <is>
          <t>1970s Modernist style. Genuine Amber values higher.</t>
        </is>
      </c>
    </row>
    <row r="192" ht="15" customHeight="1" s="27">
      <c r="A192" s="26" t="inlineStr">
        <is>
          <t>NK_GN_PL_100</t>
        </is>
      </c>
      <c r="B192" s="26" t="inlineStr">
        <is>
          <t>necklace</t>
        </is>
      </c>
      <c r="C192" s="26" t="inlineStr">
        <is>
          <t>Green Jade Strand</t>
        </is>
      </c>
      <c r="D192" s="26" t="inlineStr">
        <is>
          <t>Vintage light green jadeite/nephrite bead necklace.</t>
        </is>
      </c>
      <c r="G192" s="35" t="n">
        <v>92.5</v>
      </c>
      <c r="H192" s="35" t="n"/>
      <c r="I192" s="35" t="n"/>
      <c r="J192" s="36">
        <f>IF(AND(G192&lt;&gt;"",I192&lt;&gt;""),G192-I192,"")</f>
        <v/>
      </c>
      <c r="K192" s="37">
        <f>IF(AND(G192&lt;&gt;"",G192&lt;&gt;0),J192/G192,"")</f>
        <v/>
      </c>
      <c r="L192" s="26" t="inlineStr">
        <is>
          <t>SKU: NK-GN-PL-100</t>
        </is>
      </c>
    </row>
    <row r="193" ht="15" customHeight="1" s="27">
      <c r="A193" s="26" t="inlineStr">
        <is>
          <t>NK_GP_</t>
        </is>
      </c>
      <c r="B193" s="26" t="inlineStr">
        <is>
          <t>necklace</t>
        </is>
      </c>
      <c r="C193" s="26" t="inlineStr">
        <is>
          <t>Graduated Pink Pearl Ombré:</t>
        </is>
      </c>
      <c r="D193" s="26" t="inlineStr">
        <is>
          <t xml:space="preserve"> A four-strand statement necklace with faux pearls that transition from light blush to a deep rosy pink. The graduated strand lengths create a elegant draped effect.</t>
        </is>
      </c>
      <c r="G193" s="35" t="n">
        <v>55</v>
      </c>
      <c r="H193" s="35" t="n"/>
      <c r="I193" s="35" t="n"/>
      <c r="J193" s="36">
        <f>IF(AND(G193&lt;&gt;"",I193&lt;&gt;""),G193-I193,"")</f>
        <v/>
      </c>
      <c r="K193" s="37">
        <f>IF(AND(G193&lt;&gt;"",G193&lt;&gt;0),J193/G193,"")</f>
        <v/>
      </c>
      <c r="L193" s="26" t="inlineStr">
        <is>
          <t>SKU: NK-GP-</t>
        </is>
      </c>
    </row>
    <row r="194" ht="15" customHeight="1" s="27">
      <c r="A194" s="26" t="inlineStr">
        <is>
          <t>NK_GT_BS_091</t>
        </is>
      </c>
      <c r="B194" s="26" t="inlineStr">
        <is>
          <t>necklace</t>
        </is>
      </c>
      <c r="C194" s="26" t="inlineStr">
        <is>
          <t>Brushed Gold Bead</t>
        </is>
      </c>
      <c r="D194" s="26" t="inlineStr">
        <is>
          <t>Mid-Century double-strand satin finish gold beads.</t>
        </is>
      </c>
      <c r="E194" s="26" t="inlineStr">
        <is>
          <t>Mixed Materials</t>
        </is>
      </c>
      <c r="G194" s="35" t="n">
        <v>50</v>
      </c>
      <c r="H194" s="35" t="n"/>
      <c r="I194" s="35" t="n"/>
      <c r="J194" s="36">
        <f>IF(AND(G194&lt;&gt;"",I194&lt;&gt;""),G194-I194,"")</f>
        <v/>
      </c>
      <c r="K194" s="37">
        <f>IF(AND(G194&lt;&gt;"",G194&lt;&gt;0),J194/G194,"")</f>
        <v/>
      </c>
      <c r="L194" s="26" t="inlineStr">
        <is>
          <t>SKU: NK-GT-BS-091</t>
        </is>
      </c>
    </row>
    <row r="195" ht="15" customHeight="1" s="27">
      <c r="A195" s="26" t="inlineStr">
        <is>
          <t>NK_GT_CH_025</t>
        </is>
      </c>
      <c r="B195" s="26" t="inlineStr">
        <is>
          <t>necklace</t>
        </is>
      </c>
      <c r="C195" s="26" t="inlineStr">
        <is>
          <t>Vintage Double Row Gold-Tone Box Link Necklace</t>
        </is>
      </c>
      <c r="D195" s="26" t="inlineStr">
        <is>
          <t>Substantial necklace with two parallel rows of textured box links.</t>
        </is>
      </c>
      <c r="E195" s="26" t="inlineStr">
        <is>
          <t>Gold Tone</t>
        </is>
      </c>
      <c r="G195" s="35" t="n">
        <v>45</v>
      </c>
      <c r="H195" s="35" t="n"/>
      <c r="I195" s="35" t="n"/>
      <c r="J195" s="36">
        <f>IF(AND(G195&lt;&gt;"",I195&lt;&gt;""),G195-I195,"")</f>
        <v/>
      </c>
      <c r="K195" s="37">
        <f>IF(AND(G195&lt;&gt;"",G195&lt;&gt;0),J195/G195,"")</f>
        <v/>
      </c>
      <c r="L195" s="26" t="inlineStr">
        <is>
          <t>1970s/80s maximalist aesthetic.</t>
        </is>
      </c>
    </row>
    <row r="196" ht="15" customHeight="1" s="27">
      <c r="A196" s="26" t="inlineStr">
        <is>
          <t>NK_GT_PD_005</t>
        </is>
      </c>
      <c r="B196" s="26" t="inlineStr">
        <is>
          <t>necklace</t>
        </is>
      </c>
      <c r="C196" s="26" t="inlineStr">
        <is>
          <t>Vintage Gold Tone Double Panther Head Necklace</t>
        </is>
      </c>
      <c r="D196" s="26" t="inlineStr">
        <is>
          <t>Statement "door knocker" design with two panther heads on a flat mesh chain.</t>
        </is>
      </c>
      <c r="E196" s="26" t="inlineStr">
        <is>
          <t>Gold Tone</t>
        </is>
      </c>
      <c r="G196" s="35" t="n">
        <v>65</v>
      </c>
      <c r="H196" s="35" t="n"/>
      <c r="I196" s="35" t="n"/>
      <c r="J196" s="36">
        <f>IF(AND(G196&lt;&gt;"",I196&lt;&gt;""),G196-I196,"")</f>
        <v/>
      </c>
      <c r="K196" s="37">
        <f>IF(AND(G196&lt;&gt;"",G196&lt;&gt;0),J196/G196,"")</f>
        <v/>
      </c>
      <c r="L196" s="26" t="inlineStr">
        <is>
          <t>1980s maximalist. High value if signed (e.g., KJL/Ciner).</t>
        </is>
      </c>
    </row>
    <row r="197" ht="15" customHeight="1" s="27">
      <c r="A197" s="26" t="inlineStr">
        <is>
          <t>NK_GT_PD_017</t>
        </is>
      </c>
      <c r="B197" s="26" t="inlineStr">
        <is>
          <t>necklace</t>
        </is>
      </c>
      <c r="C197" s="26" t="inlineStr">
        <is>
          <t>Vintage Gold Tone Multi-Color Station Necklace</t>
        </is>
      </c>
      <c r="D197" s="26" t="inlineStr">
        <is>
          <t>Multi-colored bezel-set cabochons (rainbow palette) on a gold-tone chain.</t>
        </is>
      </c>
      <c r="E197" s="26" t="inlineStr">
        <is>
          <t>Gold Tone</t>
        </is>
      </c>
      <c r="G197" s="35" t="n">
        <v>45</v>
      </c>
      <c r="H197" s="35" t="n"/>
      <c r="I197" s="35" t="n"/>
      <c r="J197" s="36">
        <f>IF(AND(G197&lt;&gt;"",I197&lt;&gt;""),G197-I197,"")</f>
        <v/>
      </c>
      <c r="K197" s="37">
        <f>IF(AND(G197&lt;&gt;"",G197&lt;&gt;0),J197/G197,"")</f>
        <v/>
      </c>
      <c r="L197" s="26" t="inlineStr">
        <is>
          <t>Y2K aesthetic. Common in vintage Chico’s collections.</t>
        </is>
      </c>
    </row>
    <row r="198" ht="15" customHeight="1" s="27">
      <c r="A198" s="26" t="inlineStr">
        <is>
          <t>NK_GT_PD_020</t>
        </is>
      </c>
      <c r="B198" s="26" t="inlineStr">
        <is>
          <t>necklace</t>
        </is>
      </c>
      <c r="C198" s="26" t="inlineStr">
        <is>
          <t>Vintage Gold Tone Hummingbird Circle Necklace</t>
        </is>
      </c>
      <c r="D198" s="26" t="inlineStr">
        <is>
          <t>Open-circle pendant with bird in flight and red rhinestone floral accent.</t>
        </is>
      </c>
      <c r="E198" s="26" t="inlineStr">
        <is>
          <t>Gold Tone</t>
        </is>
      </c>
      <c r="G198" s="35" t="n">
        <v>27.5</v>
      </c>
      <c r="H198" s="35" t="n"/>
      <c r="I198" s="35" t="n"/>
      <c r="J198" s="36">
        <f>IF(AND(G198&lt;&gt;"",I198&lt;&gt;""),G198-I198,"")</f>
        <v/>
      </c>
      <c r="K198" s="37">
        <f>IF(AND(G198&lt;&gt;"",G198&lt;&gt;0),J198/G198,"")</f>
        <v/>
      </c>
      <c r="L198" s="26" t="inlineStr">
        <is>
          <t>Nature-inspired; check back for "JJI" or "Avon" hallmarks.</t>
        </is>
      </c>
    </row>
    <row r="199" ht="15" customHeight="1" s="27">
      <c r="A199" s="26" t="inlineStr">
        <is>
          <t>NK_GT_PD_030</t>
        </is>
      </c>
      <c r="B199" s="26" t="inlineStr">
        <is>
          <t>necklace</t>
        </is>
      </c>
      <c r="C199" s="26" t="inlineStr">
        <is>
          <t>Vintage Enamel Seahorse Pendant on Rope Chain</t>
        </is>
      </c>
      <c r="D199" s="26" t="inlineStr">
        <is>
          <t>Textured gold-tone seahorse with multi-colored kiln-fired enamel.</t>
        </is>
      </c>
      <c r="G199" s="35" t="n">
        <v>47.5</v>
      </c>
      <c r="H199" s="35" t="n"/>
      <c r="I199" s="35" t="n"/>
      <c r="J199" s="36">
        <f>IF(AND(G199&lt;&gt;"",I199&lt;&gt;""),G199-I199,"")</f>
        <v/>
      </c>
      <c r="K199" s="37">
        <f>IF(AND(G199&lt;&gt;"",G199&lt;&gt;0),J199/G199,"")</f>
        <v/>
      </c>
      <c r="L199" s="26" t="inlineStr">
        <is>
          <t>Whimsical 70s nautical motif.</t>
        </is>
      </c>
    </row>
    <row r="200" ht="15" customHeight="1" s="27">
      <c r="A200" s="26" t="inlineStr">
        <is>
          <t>NK_GT_PE_021</t>
        </is>
      </c>
      <c r="B200" s="26" t="inlineStr">
        <is>
          <t>necklace</t>
        </is>
      </c>
      <c r="C200" s="26" t="inlineStr">
        <is>
          <t>Vintage Gold Tone Faux Pearl Station Necklace</t>
        </is>
      </c>
      <c r="D200" s="26" t="inlineStr">
        <is>
          <t>Dainty gold-tone chain with white round faux pearl "tin cup" stations.</t>
        </is>
      </c>
      <c r="E200" s="26" t="inlineStr">
        <is>
          <t>Gold Tone</t>
        </is>
      </c>
      <c r="G200" s="35" t="n">
        <v>26.5</v>
      </c>
      <c r="H200" s="35" t="n"/>
      <c r="I200" s="35" t="n"/>
      <c r="J200" s="36">
        <f>IF(AND(G200&lt;&gt;"",I200&lt;&gt;""),G200-I200,"")</f>
        <v/>
      </c>
      <c r="K200" s="37">
        <f>IF(AND(G200&lt;&gt;"",G200&lt;&gt;0),J200/G200,"")</f>
        <v/>
      </c>
      <c r="L200" s="26" t="inlineStr">
        <is>
          <t>Classic versatile style. Check for 14K marks.</t>
        </is>
      </c>
    </row>
    <row r="201" ht="15" customHeight="1" s="27">
      <c r="A201" s="26" t="inlineStr">
        <is>
          <t>NK_GT_PE_022</t>
        </is>
      </c>
      <c r="B201" s="26" t="inlineStr">
        <is>
          <t>necklace</t>
        </is>
      </c>
      <c r="C201" s="26" t="inlineStr">
        <is>
          <t>Vintage Double Strand Pearl with Amethyst Focal</t>
        </is>
      </c>
      <c r="D201" s="26" t="inlineStr">
        <is>
          <t>Double row of creamy faux pearls with an ornate gold-tone floral amethyst focal.</t>
        </is>
      </c>
      <c r="G201" s="35" t="n">
        <v>55</v>
      </c>
      <c r="H201" s="35" t="n"/>
      <c r="I201" s="35" t="n"/>
      <c r="J201" s="36">
        <f>IF(AND(G201&lt;&gt;"",I201&lt;&gt;""),G201-I201,"")</f>
        <v/>
      </c>
      <c r="K201" s="37">
        <f>IF(AND(G201&lt;&gt;"",G201&lt;&gt;0),J201/G201,"")</f>
        <v/>
      </c>
      <c r="L201" s="26" t="inlineStr">
        <is>
          <t>High-end mid-century costume piece.</t>
        </is>
      </c>
    </row>
    <row r="202" ht="15" customHeight="1" s="27">
      <c r="A202" s="26" t="inlineStr">
        <is>
          <t>NK_GT_PE_023</t>
        </is>
      </c>
      <c r="B202" s="26" t="inlineStr">
        <is>
          <t>necklace</t>
        </is>
      </c>
      <c r="C202" s="26" t="inlineStr">
        <is>
          <t>Vintage Elaborate Floral Pearl Statement Choker</t>
        </is>
      </c>
      <c r="D202" s="26" t="inlineStr">
        <is>
          <t>Ornate gold-tone floral centerpiece with pearl and purple stone accents.</t>
        </is>
      </c>
      <c r="G202" s="35" t="n">
        <v>55</v>
      </c>
      <c r="H202" s="35" t="n"/>
      <c r="I202" s="35" t="n"/>
      <c r="J202" s="36">
        <f>IF(AND(G202&lt;&gt;"",I202&lt;&gt;""),G202-I202,"")</f>
        <v/>
      </c>
      <c r="K202" s="37">
        <f>IF(AND(G202&lt;&gt;"",G202&lt;&gt;0),J202/G202,"")</f>
        <v/>
      </c>
      <c r="L202" s="26" t="inlineStr">
        <is>
          <t>Signature Haskell/Trifari style.</t>
        </is>
      </c>
    </row>
    <row r="203" ht="15" customHeight="1" s="27">
      <c r="A203" s="26" t="inlineStr">
        <is>
          <t>NK_GT_ST_029</t>
        </is>
      </c>
      <c r="B203" s="26" t="inlineStr">
        <is>
          <t>necklace</t>
        </is>
      </c>
      <c r="C203" s="26" t="inlineStr">
        <is>
          <t>Vintage Long Gold Tone Pink Cabochon Necklace</t>
        </is>
      </c>
      <c r="D203" s="26" t="inlineStr">
        <is>
          <t>Opera-length chain with pink lucite/glass cabochons in gold bezels.</t>
        </is>
      </c>
      <c r="E203" s="26" t="inlineStr">
        <is>
          <t>Gold Tone</t>
        </is>
      </c>
      <c r="G203" s="35" t="n">
        <v>37.5</v>
      </c>
      <c r="H203" s="35" t="n"/>
      <c r="I203" s="35" t="n"/>
      <c r="J203" s="36">
        <f>IF(AND(G203&lt;&gt;"",I203&lt;&gt;""),G203-I203,"")</f>
        <v/>
      </c>
      <c r="K203" s="37">
        <f>IF(AND(G203&lt;&gt;"",G203&lt;&gt;0),J203/G203,"")</f>
        <v/>
      </c>
      <c r="L203" s="26" t="inlineStr">
        <is>
          <t>1970s flapper revival. Often by Monet or Napier.</t>
        </is>
      </c>
    </row>
    <row r="204" ht="15" customHeight="1" s="27">
      <c r="A204" s="26" t="inlineStr">
        <is>
          <t>NK_GT_TQ_099</t>
        </is>
      </c>
      <c r="B204" s="26" t="inlineStr">
        <is>
          <t>necklace</t>
        </is>
      </c>
      <c r="C204" s="26" t="inlineStr">
        <is>
          <t>Gold Flower Oval</t>
        </is>
      </c>
      <c r="D204" s="26" t="inlineStr">
        <is>
          <t>Triple-station gold oval flower with turquoise centers.</t>
        </is>
      </c>
      <c r="G204" s="35" t="n">
        <v>55</v>
      </c>
      <c r="H204" s="35" t="n"/>
      <c r="I204" s="35" t="n"/>
      <c r="J204" s="36">
        <f>IF(AND(G204&lt;&gt;"",I204&lt;&gt;""),G204-I204,"")</f>
        <v/>
      </c>
      <c r="K204" s="37">
        <f>IF(AND(G204&lt;&gt;"",G204&lt;&gt;0),J204/G204,"")</f>
        <v/>
      </c>
      <c r="L204" s="26" t="inlineStr">
        <is>
          <t>SKU: NK-GT-TQ-099</t>
        </is>
      </c>
    </row>
    <row r="205" ht="15" customHeight="1" s="27">
      <c r="A205" s="26" t="inlineStr">
        <is>
          <t>NK_HG_</t>
        </is>
      </c>
      <c r="B205" s="26" t="inlineStr">
        <is>
          <t>necklace</t>
        </is>
      </c>
      <c r="C205" s="26" t="inlineStr">
        <is>
          <t>Hammered Gold Disc:</t>
        </is>
      </c>
      <c r="D205" s="26" t="inlineStr">
        <is>
          <t>Bold Artisan Hammered Gold-Tone Graduated Disc Statement Necklace.</t>
        </is>
      </c>
      <c r="G205" s="35" t="n"/>
      <c r="H205" s="35" t="n"/>
      <c r="I205" s="35" t="n"/>
      <c r="J205" s="36">
        <f>IF(AND(G205&lt;&gt;"",I205&lt;&gt;""),G205-I205,"")</f>
        <v/>
      </c>
      <c r="K205" s="37">
        <f>IF(AND(G205&lt;&gt;"",G205&lt;&gt;0),J205/G205,"")</f>
        <v/>
      </c>
      <c r="L205" s="26" t="inlineStr">
        <is>
          <t>SKU: NK-HG-</t>
        </is>
      </c>
    </row>
    <row r="206" ht="15" customHeight="1" s="27">
      <c r="A206" s="26" t="inlineStr">
        <is>
          <t>NK_HM_FG_094</t>
        </is>
      </c>
      <c r="B206" s="26" t="inlineStr">
        <is>
          <t>necklace</t>
        </is>
      </c>
      <c r="C206" s="26" t="inlineStr">
        <is>
          <t>Hematite Fringe</t>
        </is>
      </c>
      <c r="D206" s="26" t="inlineStr">
        <is>
          <t>Jagged gothic bib with faceted hematite-tone fringe.</t>
        </is>
      </c>
      <c r="G206" s="35" t="n">
        <v>43.5</v>
      </c>
      <c r="H206" s="35" t="n"/>
      <c r="I206" s="35" t="n"/>
      <c r="J206" s="36">
        <f>IF(AND(G206&lt;&gt;"",I206&lt;&gt;""),G206-I206,"")</f>
        <v/>
      </c>
      <c r="K206" s="37">
        <f>IF(AND(G206&lt;&gt;"",G206&lt;&gt;0),J206/G206,"")</f>
        <v/>
      </c>
      <c r="L206" s="26" t="inlineStr">
        <is>
          <t>SKU: NK-HM-FG-094</t>
        </is>
      </c>
    </row>
    <row r="207" ht="15" customHeight="1" s="27">
      <c r="A207" s="26" t="inlineStr">
        <is>
          <t>NK_MC_</t>
        </is>
      </c>
      <c r="B207" s="26" t="inlineStr">
        <is>
          <t>necklace</t>
        </is>
      </c>
      <c r="C207" s="26" t="inlineStr">
        <is>
          <t>Multi-Charm Silver Chain:</t>
        </is>
      </c>
      <c r="D207" s="26" t="inlineStr">
        <is>
          <t xml:space="preserve"> Artisan Boho Style Silver Chain Necklace with Assorted Glass and Stone Charms.</t>
        </is>
      </c>
      <c r="G207" s="35" t="n"/>
      <c r="H207" s="35" t="n"/>
      <c r="I207" s="35" t="n"/>
      <c r="J207" s="36">
        <f>IF(AND(G207&lt;&gt;"",I207&lt;&gt;""),G207-I207,"")</f>
        <v/>
      </c>
      <c r="K207" s="37">
        <f>IF(AND(G207&lt;&gt;"",G207&lt;&gt;0),J207/G207,"")</f>
        <v/>
      </c>
      <c r="L207" s="26" t="inlineStr">
        <is>
          <t>SKU: NK-MC-</t>
        </is>
      </c>
    </row>
    <row r="208" ht="15" customHeight="1" s="27">
      <c r="A208" s="26" t="inlineStr">
        <is>
          <t>NK_MS_</t>
        </is>
      </c>
      <c r="B208" s="26" t="inlineStr">
        <is>
          <t>necklace</t>
        </is>
      </c>
      <c r="C208" s="26" t="inlineStr">
        <is>
          <t xml:space="preserve">Multi-Strand Silver Chain: </t>
        </is>
      </c>
      <c r="D208" s="26" t="inlineStr">
        <is>
          <t>Minimalist Multi-Strand Layered Fine Silver-Tone Chain Necklace.</t>
        </is>
      </c>
      <c r="G208" s="35" t="n"/>
      <c r="H208" s="35" t="n"/>
      <c r="I208" s="35" t="n"/>
      <c r="J208" s="36">
        <f>IF(AND(G208&lt;&gt;"",I208&lt;&gt;""),G208-I208,"")</f>
        <v/>
      </c>
      <c r="K208" s="37">
        <f>IF(AND(G208&lt;&gt;"",G208&lt;&gt;0),J208/G208,"")</f>
        <v/>
      </c>
      <c r="L208" s="26" t="inlineStr">
        <is>
          <t>SKU: NK-MS-</t>
        </is>
      </c>
    </row>
    <row r="209" ht="15" customHeight="1" s="27">
      <c r="A209" s="26" t="inlineStr">
        <is>
          <t>NK_MX_BK_093</t>
        </is>
      </c>
      <c r="B209" s="26" t="inlineStr">
        <is>
          <t>necklace</t>
        </is>
      </c>
      <c r="C209" s="26" t="inlineStr">
        <is>
          <t>Geometric Block</t>
        </is>
      </c>
      <c r="D209" s="26" t="inlineStr">
        <is>
          <t>Red, silver &amp; bronze tiered geometric block bib.</t>
        </is>
      </c>
      <c r="G209" s="35" t="n">
        <v>41.5</v>
      </c>
      <c r="H209" s="35" t="n"/>
      <c r="I209" s="35" t="n"/>
      <c r="J209" s="36">
        <f>IF(AND(G209&lt;&gt;"",I209&lt;&gt;""),G209-I209,"")</f>
        <v/>
      </c>
      <c r="K209" s="37">
        <f>IF(AND(G209&lt;&gt;"",G209&lt;&gt;0),J209/G209,"")</f>
        <v/>
      </c>
      <c r="L209" s="26" t="inlineStr">
        <is>
          <t>SKU: NK-MX-BK-093</t>
        </is>
      </c>
    </row>
    <row r="210" ht="15" customHeight="1" s="27">
      <c r="A210" s="26" t="inlineStr">
        <is>
          <t>NK_MX_CR_092</t>
        </is>
      </c>
      <c r="B210" s="26" t="inlineStr">
        <is>
          <t>necklace</t>
        </is>
      </c>
      <c r="C210" s="26" t="inlineStr">
        <is>
          <t>Mixed Metal Cross</t>
        </is>
      </c>
      <c r="D210" s="26" t="inlineStr">
        <is>
          <t>Triple-strand silver chains with gold-tone Latin cross.</t>
        </is>
      </c>
      <c r="G210" s="35" t="n">
        <v>67.5</v>
      </c>
      <c r="H210" s="35" t="n"/>
      <c r="I210" s="35" t="n"/>
      <c r="J210" s="36">
        <f>IF(AND(G210&lt;&gt;"",I210&lt;&gt;""),G210-I210,"")</f>
        <v/>
      </c>
      <c r="K210" s="37">
        <f>IF(AND(G210&lt;&gt;"",G210&lt;&gt;0),J210/G210,"")</f>
        <v/>
      </c>
      <c r="L210" s="26" t="inlineStr">
        <is>
          <t>SKU: NK-MX-CR-092</t>
        </is>
      </c>
    </row>
    <row r="211" ht="15" customHeight="1" s="27">
      <c r="A211" s="26" t="inlineStr">
        <is>
          <t>NK_MX_ST_076</t>
        </is>
      </c>
      <c r="B211" s="26" t="inlineStr">
        <is>
          <t>necklace</t>
        </is>
      </c>
      <c r="C211" s="26" t="inlineStr">
        <is>
          <t>Mixed Media Glass</t>
        </is>
      </c>
      <c r="D211" s="26" t="inlineStr">
        <is>
          <t>Vintage artisan multi-color glass &amp; stone station strand.</t>
        </is>
      </c>
      <c r="G211" s="35" t="n">
        <v>35</v>
      </c>
      <c r="H211" s="35" t="n"/>
      <c r="I211" s="35" t="n"/>
      <c r="J211" s="36">
        <f>IF(AND(G211&lt;&gt;"",I211&lt;&gt;""),G211-I211,"")</f>
        <v/>
      </c>
      <c r="K211" s="37">
        <f>IF(AND(G211&lt;&gt;"",G211&lt;&gt;0),J211/G211,"")</f>
        <v/>
      </c>
      <c r="L211" s="26" t="inlineStr">
        <is>
          <t>SKU: NK-MX-ST-076</t>
        </is>
      </c>
    </row>
    <row r="212" ht="15" customHeight="1" s="27">
      <c r="A212" s="26" t="inlineStr">
        <is>
          <t>NK_MX_ST_078</t>
        </is>
      </c>
      <c r="B212" s="26" t="inlineStr">
        <is>
          <t>necklace</t>
        </is>
      </c>
      <c r="C212" s="26" t="inlineStr">
        <is>
          <t>Iridescent Station</t>
        </is>
      </c>
      <c r="D212" s="26" t="inlineStr">
        <is>
          <t>Long pink &amp; silver iridescent bead station opera necklace.</t>
        </is>
      </c>
      <c r="G212" s="35" t="n">
        <v>35</v>
      </c>
      <c r="H212" s="35" t="n"/>
      <c r="I212" s="35" t="n"/>
      <c r="J212" s="36">
        <f>IF(AND(G212&lt;&gt;"",I212&lt;&gt;""),G212-I212,"")</f>
        <v/>
      </c>
      <c r="K212" s="37">
        <f>IF(AND(G212&lt;&gt;"",G212&lt;&gt;0),J212/G212,"")</f>
        <v/>
      </c>
      <c r="L212" s="26" t="inlineStr">
        <is>
          <t>SKU: NK-MX-ST-078</t>
        </is>
      </c>
    </row>
    <row r="213" ht="15" customHeight="1" s="27">
      <c r="A213" s="26" t="inlineStr">
        <is>
          <t>NK_NV_ST_080</t>
        </is>
      </c>
      <c r="B213" s="26" t="inlineStr">
        <is>
          <t>necklace</t>
        </is>
      </c>
      <c r="C213" s="26" t="inlineStr">
        <is>
          <t>Navy Multi-Strand</t>
        </is>
      </c>
      <c r="D213" s="26" t="inlineStr">
        <is>
          <t>Five-strand navy seed bead necklace with silver stations.</t>
        </is>
      </c>
      <c r="G213" s="35" t="n">
        <v>28.5</v>
      </c>
      <c r="H213" s="35" t="n"/>
      <c r="I213" s="35" t="n"/>
      <c r="J213" s="36">
        <f>IF(AND(G213&lt;&gt;"",I213&lt;&gt;""),G213-I213,"")</f>
        <v/>
      </c>
      <c r="K213" s="37">
        <f>IF(AND(G213&lt;&gt;"",G213&lt;&gt;0),J213/G213,"")</f>
        <v/>
      </c>
      <c r="L213" s="26" t="inlineStr">
        <is>
          <t>SKU: NK-NV-ST-080</t>
        </is>
      </c>
    </row>
    <row r="214" ht="15" customHeight="1" s="27">
      <c r="A214" s="26" t="inlineStr">
        <is>
          <t>NK_OR_BE_008</t>
        </is>
      </c>
      <c r="B214" s="26" t="inlineStr">
        <is>
          <t>necklace</t>
        </is>
      </c>
      <c r="C214" s="26" t="inlineStr">
        <is>
          <t>Vintage Long Burnt Orange Disc Bead Necklace</t>
        </is>
      </c>
      <c r="D214" s="26" t="inlineStr">
        <is>
          <t>Opera-length continuous strand of flat orange disc-shaped beads.</t>
        </is>
      </c>
      <c r="E214" s="26" t="inlineStr">
        <is>
          <t>Mixed Materials</t>
        </is>
      </c>
      <c r="G214" s="35" t="n">
        <v>27.5</v>
      </c>
      <c r="H214" s="35" t="n"/>
      <c r="I214" s="35" t="n"/>
      <c r="J214" s="36">
        <f>IF(AND(G214&lt;&gt;"",I214&lt;&gt;""),G214-I214,"")</f>
        <v/>
      </c>
      <c r="K214" s="37">
        <f>IF(AND(G214&lt;&gt;"",G214&lt;&gt;0),J214/G214,"")</f>
        <v/>
      </c>
      <c r="L214" s="26" t="inlineStr">
        <is>
          <t>1970s Boho. Possible Bakelite (check for smell test).</t>
        </is>
      </c>
    </row>
    <row r="215" ht="15" customHeight="1" s="27">
      <c r="A215" s="26" t="inlineStr">
        <is>
          <t>NK_PL_ST_079</t>
        </is>
      </c>
      <c r="B215" s="26" t="inlineStr">
        <is>
          <t>necklace</t>
        </is>
      </c>
      <c r="C215" s="26" t="inlineStr">
        <is>
          <t>Classic White Pearl</t>
        </is>
      </c>
      <c r="D215" s="26" t="inlineStr">
        <is>
          <t>Vintage single-strand cream pearl necklace (18").</t>
        </is>
      </c>
      <c r="G215" s="35" t="n">
        <v>232.5</v>
      </c>
      <c r="H215" s="35" t="n"/>
      <c r="I215" s="35" t="n"/>
      <c r="J215" s="36">
        <f>IF(AND(G215&lt;&gt;"",I215&lt;&gt;""),G215-I215,"")</f>
        <v/>
      </c>
      <c r="K215" s="37">
        <f>IF(AND(G215&lt;&gt;"",G215&lt;&gt;0),J215/G215,"")</f>
        <v/>
      </c>
      <c r="L215" s="26" t="inlineStr">
        <is>
          <t>SKU: NK-PL-ST-079</t>
        </is>
      </c>
    </row>
    <row r="216" ht="15" customHeight="1" s="27">
      <c r="A216" s="26" t="inlineStr">
        <is>
          <t>NK_PM_</t>
        </is>
      </c>
      <c r="B216" s="26" t="inlineStr">
        <is>
          <t>necklace</t>
        </is>
      </c>
      <c r="C216" s="26" t="inlineStr">
        <is>
          <t>Peach Moonstone/Glass Bead:</t>
        </is>
      </c>
      <c r="D216" s="26" t="inlineStr">
        <is>
          <t>Artisan Single Strand Peach and Coral Toned Stone/Glass Bead Necklace.</t>
        </is>
      </c>
      <c r="E216" s="26" t="inlineStr">
        <is>
          <t>Mixed Materials</t>
        </is>
      </c>
      <c r="G216" s="35" t="n"/>
      <c r="H216" s="35" t="n"/>
      <c r="I216" s="35" t="n"/>
      <c r="J216" s="36">
        <f>IF(AND(G216&lt;&gt;"",I216&lt;&gt;""),G216-I216,"")</f>
        <v/>
      </c>
      <c r="K216" s="37">
        <f>IF(AND(G216&lt;&gt;"",G216&lt;&gt;0),J216/G216,"")</f>
        <v/>
      </c>
      <c r="L216" s="26" t="inlineStr">
        <is>
          <t>SKU: NK-PM-</t>
        </is>
      </c>
    </row>
    <row r="217" ht="15" customHeight="1" s="27">
      <c r="A217" s="26" t="inlineStr">
        <is>
          <t>NK_PR_BE_028</t>
        </is>
      </c>
      <c r="B217" s="26" t="inlineStr">
        <is>
          <t>necklace</t>
        </is>
      </c>
      <c r="C217" s="26" t="inlineStr">
        <is>
          <t>Vintage Minimalist Purple Seed Bead Choker</t>
        </is>
      </c>
      <c r="D217" s="26" t="inlineStr">
        <is>
          <t>Dainty single strand of uniform matte purple glass seed beads.</t>
        </is>
      </c>
      <c r="E217" s="26" t="inlineStr">
        <is>
          <t>Mixed Materials</t>
        </is>
      </c>
      <c r="G217" s="35" t="n">
        <v>15</v>
      </c>
      <c r="H217" s="35" t="n"/>
      <c r="I217" s="35" t="n"/>
      <c r="J217" s="36">
        <f>IF(AND(G217&lt;&gt;"",I217&lt;&gt;""),G217-I217,"")</f>
        <v/>
      </c>
      <c r="K217" s="37">
        <f>IF(AND(G217&lt;&gt;"",G217&lt;&gt;0),J217/G217,"")</f>
        <v/>
      </c>
      <c r="L217" s="26" t="inlineStr">
        <is>
          <t>1960s Mod or modern Boho layering piece.</t>
        </is>
      </c>
    </row>
    <row r="218" ht="15" customHeight="1" s="27">
      <c r="A218" s="26" t="inlineStr">
        <is>
          <t>NK_PR_SH_077</t>
        </is>
      </c>
      <c r="B218" s="26" t="inlineStr">
        <is>
          <t>necklace</t>
        </is>
      </c>
      <c r="C218" s="26" t="inlineStr">
        <is>
          <t>Purple Capiz Shell</t>
        </is>
      </c>
      <c r="D218" s="26" t="inlineStr">
        <is>
          <t>Double-strand purple-dyed capiz shell &amp; silver-tone chain.</t>
        </is>
      </c>
      <c r="G218" s="35" t="n">
        <v>28.5</v>
      </c>
      <c r="H218" s="35" t="n"/>
      <c r="I218" s="35" t="n"/>
      <c r="J218" s="36">
        <f>IF(AND(G218&lt;&gt;"",I218&lt;&gt;""),G218-I218,"")</f>
        <v/>
      </c>
      <c r="K218" s="37">
        <f>IF(AND(G218&lt;&gt;"",G218&lt;&gt;0),J218/G218,"")</f>
        <v/>
      </c>
      <c r="L218" s="26" t="inlineStr">
        <is>
          <t>SKU: NK-PR-SH-077</t>
        </is>
      </c>
    </row>
    <row r="219" ht="15" customHeight="1" s="27">
      <c r="A219" s="26" t="inlineStr">
        <is>
          <t>NK_PR_ST_074</t>
        </is>
      </c>
      <c r="B219" s="26" t="inlineStr">
        <is>
          <t>necklace</t>
        </is>
      </c>
      <c r="C219" s="26" t="inlineStr">
        <is>
          <t>Purple Nugget Station</t>
        </is>
      </c>
      <c r="D219" s="26" t="inlineStr">
        <is>
          <t>Long mottled purple nugget &amp; crystal station necklace.</t>
        </is>
      </c>
      <c r="G219" s="35" t="n">
        <v>36.5</v>
      </c>
      <c r="H219" s="35" t="n"/>
      <c r="I219" s="35" t="n"/>
      <c r="J219" s="36">
        <f>IF(AND(G219&lt;&gt;"",I219&lt;&gt;""),G219-I219,"")</f>
        <v/>
      </c>
      <c r="K219" s="37">
        <f>IF(AND(G219&lt;&gt;"",G219&lt;&gt;0),J219/G219,"")</f>
        <v/>
      </c>
      <c r="L219" s="26" t="inlineStr">
        <is>
          <t>SKU: NK-PR-ST-074</t>
        </is>
      </c>
    </row>
    <row r="220" ht="15" customHeight="1" s="27">
      <c r="A220" s="26" t="inlineStr">
        <is>
          <t>NK_RD_BT_075</t>
        </is>
      </c>
      <c r="B220" s="26" t="inlineStr">
        <is>
          <t>necklace</t>
        </is>
      </c>
      <c r="C220" s="26" t="inlineStr">
        <is>
          <t>Bohemian Garnet</t>
        </is>
      </c>
      <c r="D220" s="26" t="inlineStr">
        <is>
          <t>Antique Victorian rose-cut pyrope garnet square pendant.</t>
        </is>
      </c>
      <c r="G220" s="35" t="n">
        <v>287.5</v>
      </c>
      <c r="H220" s="35" t="n"/>
      <c r="I220" s="35" t="n"/>
      <c r="J220" s="36">
        <f>IF(AND(G220&lt;&gt;"",I220&lt;&gt;""),G220-I220,"")</f>
        <v/>
      </c>
      <c r="K220" s="37">
        <f>IF(AND(G220&lt;&gt;"",G220&lt;&gt;0),J220/G220,"")</f>
        <v/>
      </c>
      <c r="L220" s="26" t="inlineStr">
        <is>
          <t>SKU: NK-RD-BT-075</t>
        </is>
      </c>
    </row>
    <row r="221" ht="15" customHeight="1" s="27">
      <c r="A221" s="26" t="inlineStr">
        <is>
          <t>NK_RE_BE_014</t>
        </is>
      </c>
      <c r="B221" s="26" t="inlineStr">
        <is>
          <t>necklace</t>
        </is>
      </c>
      <c r="C221" s="26" t="inlineStr">
        <is>
          <t>Vintage Red Seed Bead Bolo-Style Lariat</t>
        </is>
      </c>
      <c r="D221" s="26" t="inlineStr">
        <is>
          <t>Long red seed bead strand with sliding gold-tone focal and weighted ball terminals.</t>
        </is>
      </c>
      <c r="E221" s="26" t="inlineStr">
        <is>
          <t>Mixed Materials</t>
        </is>
      </c>
      <c r="G221" s="35" t="n">
        <v>40</v>
      </c>
      <c r="H221" s="35" t="n"/>
      <c r="I221" s="35" t="n"/>
      <c r="J221" s="36">
        <f>IF(AND(G221&lt;&gt;"",I221&lt;&gt;""),G221-I221,"")</f>
        <v/>
      </c>
      <c r="K221" s="37">
        <f>IF(AND(G221&lt;&gt;"",G221&lt;&gt;0),J221/G221,"")</f>
        <v/>
      </c>
      <c r="L221" s="26" t="inlineStr">
        <is>
          <t>Mid-century/Y2K style. Check for 12K GF on slider.</t>
        </is>
      </c>
    </row>
    <row r="222" ht="15" customHeight="1" s="27">
      <c r="A222" s="26" t="inlineStr">
        <is>
          <t>NK_SL_FL_087</t>
        </is>
      </c>
      <c r="B222" s="26" t="inlineStr">
        <is>
          <t>necklace</t>
        </is>
      </c>
      <c r="C222" s="26" t="inlineStr">
        <is>
          <t>Silver Filigree</t>
        </is>
      </c>
      <c r="D222" s="26" t="inlineStr">
        <is>
          <t>Vintage floral filigree medallion with grey pearl center.</t>
        </is>
      </c>
      <c r="G222" s="35" t="n">
        <v>45</v>
      </c>
      <c r="H222" s="35" t="n"/>
      <c r="I222" s="35" t="n"/>
      <c r="J222" s="36">
        <f>IF(AND(G222&lt;&gt;"",I222&lt;&gt;""),G222-I222,"")</f>
        <v/>
      </c>
      <c r="K222" s="37">
        <f>IF(AND(G222&lt;&gt;"",G222&lt;&gt;0),J222/G222,"")</f>
        <v/>
      </c>
      <c r="L222" s="26" t="inlineStr">
        <is>
          <t>SKU: NK-SL-FL-087</t>
        </is>
      </c>
    </row>
    <row r="223" ht="15" customHeight="1" s="27">
      <c r="A223" s="26" t="inlineStr">
        <is>
          <t>NK_SL_GR_085</t>
        </is>
      </c>
      <c r="B223" s="26" t="inlineStr">
        <is>
          <t>necklace</t>
        </is>
      </c>
      <c r="C223" s="26" t="inlineStr">
        <is>
          <t>Navajo Pearl (S)</t>
        </is>
      </c>
      <c r="D223" s="26" t="inlineStr">
        <is>
          <t>Vintage graduated sterling silver bead necklace.</t>
        </is>
      </c>
      <c r="E223" s="26" t="inlineStr">
        <is>
          <t>925 Sterling Silver</t>
        </is>
      </c>
      <c r="G223" s="35" t="n">
        <v>267.5</v>
      </c>
      <c r="H223" s="35" t="n"/>
      <c r="I223" s="35" t="n"/>
      <c r="J223" s="36">
        <f>IF(AND(G223&lt;&gt;"",I223&lt;&gt;""),G223-I223,"")</f>
        <v/>
      </c>
      <c r="K223" s="37">
        <f>IF(AND(G223&lt;&gt;"",G223&lt;&gt;0),J223/G223,"")</f>
        <v/>
      </c>
      <c r="L223" s="26" t="inlineStr">
        <is>
          <t>SKU: NK-SL-GR-085</t>
        </is>
      </c>
    </row>
    <row r="224" ht="15" customHeight="1" s="27">
      <c r="A224" s="26" t="inlineStr">
        <is>
          <t>NK_SL_GR_089</t>
        </is>
      </c>
      <c r="B224" s="26" t="inlineStr">
        <is>
          <t>necklace</t>
        </is>
      </c>
      <c r="C224" s="26" t="inlineStr">
        <is>
          <t>Polished Silver Bead</t>
        </is>
      </c>
      <c r="D224" s="26" t="inlineStr">
        <is>
          <t>Long graduated sterling silver spherical bead strand.</t>
        </is>
      </c>
      <c r="E224" s="26" t="inlineStr">
        <is>
          <t>925 Sterling Silver</t>
        </is>
      </c>
      <c r="G224" s="35" t="n">
        <v>190</v>
      </c>
      <c r="H224" s="35" t="n"/>
      <c r="I224" s="35" t="n"/>
      <c r="J224" s="36">
        <f>IF(AND(G224&lt;&gt;"",I224&lt;&gt;""),G224-I224,"")</f>
        <v/>
      </c>
      <c r="K224" s="37">
        <f>IF(AND(G224&lt;&gt;"",G224&lt;&gt;0),J224/G224,"")</f>
        <v/>
      </c>
      <c r="L224" s="26" t="inlineStr">
        <is>
          <t>SKU: NK-SL-GR-089</t>
        </is>
      </c>
    </row>
    <row r="225" ht="15" customHeight="1" s="27">
      <c r="A225" s="26" t="inlineStr">
        <is>
          <t>NK_SL_RP_096</t>
        </is>
      </c>
      <c r="B225" s="26" t="inlineStr">
        <is>
          <t>necklace</t>
        </is>
      </c>
      <c r="C225" s="26" t="inlineStr">
        <is>
          <t>Rope Chain Tassel</t>
        </is>
      </c>
      <c r="D225" s="26" t="inlineStr">
        <is>
          <t>Heavy silver-tone rope chain with acorn tassel pendant.</t>
        </is>
      </c>
      <c r="G225" s="35" t="n">
        <v>60</v>
      </c>
      <c r="H225" s="35" t="n"/>
      <c r="I225" s="35" t="n"/>
      <c r="J225" s="36">
        <f>IF(AND(G225&lt;&gt;"",I225&lt;&gt;""),G225-I225,"")</f>
        <v/>
      </c>
      <c r="K225" s="37">
        <f>IF(AND(G225&lt;&gt;"",G225&lt;&gt;0),J225/G225,"")</f>
        <v/>
      </c>
      <c r="L225" s="26" t="inlineStr">
        <is>
          <t>SKU: NK-SL-RP-096</t>
        </is>
      </c>
    </row>
    <row r="226" ht="15" customHeight="1" s="27">
      <c r="A226" s="26" t="inlineStr">
        <is>
          <t>NK_SL_ST_081</t>
        </is>
      </c>
      <c r="B226" s="26" t="inlineStr">
        <is>
          <t>necklace</t>
        </is>
      </c>
      <c r="C226" s="26" t="inlineStr">
        <is>
          <t>Druzy Multi-Strand</t>
        </is>
      </c>
      <c r="D226" s="26" t="inlineStr">
        <is>
          <t>Silver-tone multi-chain with black beads &amp; druzy discs.</t>
        </is>
      </c>
      <c r="G226" s="35" t="n">
        <v>41.5</v>
      </c>
      <c r="H226" s="35" t="n"/>
      <c r="I226" s="35" t="n"/>
      <c r="J226" s="36">
        <f>IF(AND(G226&lt;&gt;"",I226&lt;&gt;""),G226-I226,"")</f>
        <v/>
      </c>
      <c r="K226" s="37">
        <f>IF(AND(G226&lt;&gt;"",G226&lt;&gt;0),J226/G226,"")</f>
        <v/>
      </c>
      <c r="L226" s="26" t="inlineStr">
        <is>
          <t>SKU: NK-SL-ST-081</t>
        </is>
      </c>
    </row>
    <row r="227" ht="15" customHeight="1" s="27">
      <c r="A227" s="26" t="inlineStr">
        <is>
          <t>NK_SL_TR_098</t>
        </is>
      </c>
      <c r="B227" s="26" t="inlineStr">
        <is>
          <t>necklace</t>
        </is>
      </c>
      <c r="C227" s="26" t="inlineStr">
        <is>
          <t>Triple Stone Station</t>
        </is>
      </c>
      <c r="D227" s="26" t="inlineStr">
        <is>
          <t>Silver-tone triple teardrop jasper/amber-style stations.</t>
        </is>
      </c>
      <c r="G227" s="35" t="n">
        <v>31.5</v>
      </c>
      <c r="H227" s="35" t="n"/>
      <c r="I227" s="35" t="n"/>
      <c r="J227" s="36">
        <f>IF(AND(G227&lt;&gt;"",I227&lt;&gt;""),G227-I227,"")</f>
        <v/>
      </c>
      <c r="K227" s="37">
        <f>IF(AND(G227&lt;&gt;"",G227&lt;&gt;0),J227/G227,"")</f>
        <v/>
      </c>
      <c r="L227" s="26" t="inlineStr">
        <is>
          <t>SKU: NK-SL-TR-098</t>
        </is>
      </c>
    </row>
    <row r="228" ht="15" customHeight="1" s="27">
      <c r="A228" s="26" t="inlineStr">
        <is>
          <t>NK_SS</t>
        </is>
      </c>
      <c r="B228" s="26" t="inlineStr">
        <is>
          <t>necklace</t>
        </is>
      </c>
      <c r="C228" s="26" t="inlineStr">
        <is>
          <t>Single Strand Aqua Glass:</t>
        </is>
      </c>
      <c r="D228" s="26" t="inlineStr">
        <is>
          <t>Vintage Art Deco Style Aqua Blue Translucent Glass Bead Necklace.</t>
        </is>
      </c>
      <c r="G228" s="35" t="n"/>
      <c r="H228" s="35" t="n"/>
      <c r="I228" s="35" t="n"/>
      <c r="J228" s="36">
        <f>IF(AND(G228&lt;&gt;"",I228&lt;&gt;""),G228-I228,"")</f>
        <v/>
      </c>
      <c r="K228" s="37">
        <f>IF(AND(G228&lt;&gt;"",G228&lt;&gt;0),J228/G228,"")</f>
        <v/>
      </c>
      <c r="L228" s="26" t="inlineStr">
        <is>
          <t>SKU: NK-SS</t>
        </is>
      </c>
    </row>
    <row r="229" ht="15" customHeight="1" s="27">
      <c r="A229" s="26" t="inlineStr">
        <is>
          <t>NK_ST_BE_019</t>
        </is>
      </c>
      <c r="B229" s="26" t="inlineStr">
        <is>
          <t>necklace</t>
        </is>
      </c>
      <c r="C229" s="26" t="inlineStr">
        <is>
          <t>Vintage Silver-Tone Graduated Ball Necklace</t>
        </is>
      </c>
      <c r="D229" s="26" t="inlineStr">
        <is>
          <t>Polished graduated spherical beads on a silver-tone chain.</t>
        </is>
      </c>
      <c r="E229" s="26" t="inlineStr">
        <is>
          <t>Silver Tone</t>
        </is>
      </c>
      <c r="G229" s="35" t="n">
        <v>35</v>
      </c>
      <c r="H229" s="35" t="n"/>
      <c r="I229" s="35" t="n"/>
      <c r="J229" s="36">
        <f>IF(AND(G229&lt;&gt;"",I229&lt;&gt;""),G229-I229,"")</f>
        <v/>
      </c>
      <c r="K229" s="37">
        <f>IF(AND(G229&lt;&gt;"",G229&lt;&gt;0),J229/G229,"")</f>
        <v/>
      </c>
      <c r="L229" s="26" t="inlineStr">
        <is>
          <t>1980s Modern style. Check for "925" or "Tiffany" marks.</t>
        </is>
      </c>
    </row>
    <row r="230" ht="15" customHeight="1" s="27">
      <c r="A230" s="26" t="inlineStr">
        <is>
          <t>NK_ST_CH_006</t>
        </is>
      </c>
      <c r="B230" s="26" t="inlineStr">
        <is>
          <t>necklace</t>
        </is>
      </c>
      <c r="C230" s="26" t="inlineStr">
        <is>
          <t>Vintage Silver Tone Mesh Chain Slider Necklace</t>
        </is>
      </c>
      <c r="D230" s="26" t="inlineStr">
        <is>
          <t>High-polish silver mesh chain with rhinestone-encrusted slider beads.</t>
        </is>
      </c>
      <c r="E230" s="26" t="inlineStr">
        <is>
          <t>Silver Tone</t>
        </is>
      </c>
      <c r="G230" s="35" t="n">
        <v>40</v>
      </c>
      <c r="H230" s="35" t="n"/>
      <c r="I230" s="35" t="n"/>
      <c r="J230" s="36">
        <f>IF(AND(G230&lt;&gt;"",I230&lt;&gt;""),G230-I230,"")</f>
        <v/>
      </c>
      <c r="K230" s="37">
        <f>IF(AND(G230&lt;&gt;"",G230&lt;&gt;0),J230/G230,"")</f>
        <v/>
      </c>
      <c r="L230" s="26" t="inlineStr">
        <is>
          <t>Early 2000s "Pandora-style" adjustable length.</t>
        </is>
      </c>
    </row>
    <row r="231" ht="15" customHeight="1" s="27">
      <c r="A231" s="26" t="inlineStr">
        <is>
          <t>NK_ST_CH_034</t>
        </is>
      </c>
      <c r="B231" s="26" t="inlineStr">
        <is>
          <t>necklace</t>
        </is>
      </c>
      <c r="C231" s="26" t="inlineStr">
        <is>
          <t>Silver Tone Mesh Choker with Pearl Accents</t>
        </is>
      </c>
      <c r="D231" s="26" t="inlineStr">
        <is>
          <t>Flexible silver-tone mesh band woven with tiny white faux pearl "pips."</t>
        </is>
      </c>
      <c r="E231" s="26" t="inlineStr">
        <is>
          <t>Silver Tone</t>
        </is>
      </c>
      <c r="G231" s="35" t="n">
        <v>40</v>
      </c>
      <c r="H231" s="35" t="n"/>
      <c r="I231" s="35" t="n"/>
      <c r="J231" s="36">
        <f>IF(AND(G231&lt;&gt;"",I231&lt;&gt;""),G231-I231,"")</f>
        <v/>
      </c>
      <c r="K231" s="37">
        <f>IF(AND(G231&lt;&gt;"",G231&lt;&gt;0),J231/G231,"")</f>
        <v/>
      </c>
      <c r="L231" s="26" t="inlineStr">
        <is>
          <t>1980s evening style; common for Monet or Avon.</t>
        </is>
      </c>
    </row>
    <row r="232" ht="15" customHeight="1" s="27">
      <c r="A232" s="26" t="inlineStr">
        <is>
          <t>NK_ST_CH_035</t>
        </is>
      </c>
      <c r="B232" s="26" t="inlineStr">
        <is>
          <t>necklace</t>
        </is>
      </c>
      <c r="C232" s="26" t="inlineStr">
        <is>
          <t>Polished Silver-Tone Twisted Rope Chain</t>
        </is>
      </c>
      <c r="D232" s="26" t="inlineStr">
        <is>
          <t>Substantial twisted rope link chain in a high-polish silver tone.</t>
        </is>
      </c>
      <c r="E232" s="26" t="inlineStr">
        <is>
          <t>Silver Tone</t>
        </is>
      </c>
      <c r="G232" s="35" t="n">
        <v>28.5</v>
      </c>
      <c r="H232" s="35" t="n"/>
      <c r="I232" s="35" t="n"/>
      <c r="J232" s="36">
        <f>IF(AND(G232&lt;&gt;"",I232&lt;&gt;""),G232-I232,"")</f>
        <v/>
      </c>
      <c r="K232" s="37">
        <f>IF(AND(G232&lt;&gt;"",G232&lt;&gt;0),J232/G232,"")</f>
        <v/>
      </c>
      <c r="L232" s="26" t="inlineStr">
        <is>
          <t>Foundational staple. Check for "Sterling" marks.</t>
        </is>
      </c>
    </row>
    <row r="233" ht="15" customHeight="1" s="27">
      <c r="A233" s="26" t="inlineStr">
        <is>
          <t>NK_ST_PD_004</t>
        </is>
      </c>
      <c r="B233" s="26" t="inlineStr">
        <is>
          <t>necklace</t>
        </is>
      </c>
      <c r="C233" s="26" t="inlineStr">
        <is>
          <t>Vintage Silver Tone Starburst Slider Lariat</t>
        </is>
      </c>
      <c r="D233" s="26" t="inlineStr">
        <is>
          <t>Starburst focal pendant with rhinestone accents on a snake chain slider.</t>
        </is>
      </c>
      <c r="E233" s="26" t="inlineStr">
        <is>
          <t>Silver Tone</t>
        </is>
      </c>
      <c r="G233" s="35" t="n">
        <v>32.5</v>
      </c>
      <c r="H233" s="35" t="n"/>
      <c r="I233" s="35" t="n"/>
      <c r="J233" s="36">
        <f>IF(AND(G233&lt;&gt;"",I233&lt;&gt;""),G233-I233,"")</f>
        <v/>
      </c>
      <c r="K233" s="37">
        <f>IF(AND(G233&lt;&gt;"",G233&lt;&gt;0),J233/G233,"")</f>
        <v/>
      </c>
      <c r="L233" s="26" t="inlineStr">
        <is>
          <t>Mid-century revival. Value increases if Sterling Silver.</t>
        </is>
      </c>
    </row>
    <row r="234" ht="15" customHeight="1" s="27">
      <c r="A234" s="26" t="inlineStr">
        <is>
          <t>NK_ST_PD_007</t>
        </is>
      </c>
      <c r="B234" s="26" t="inlineStr">
        <is>
          <t>necklace</t>
        </is>
      </c>
      <c r="C234" s="26" t="inlineStr">
        <is>
          <t>Vintage Marcasite-Style Open Circle Necklace</t>
        </is>
      </c>
      <c r="D234" s="26" t="inlineStr">
        <is>
          <t>Round open-circle pendant with marcasite-style stones on double-strand chain.</t>
        </is>
      </c>
      <c r="G234" s="35" t="n">
        <v>30</v>
      </c>
      <c r="H234" s="35" t="n"/>
      <c r="I234" s="35" t="n"/>
      <c r="J234" s="36">
        <f>IF(AND(G234&lt;&gt;"",I234&lt;&gt;""),G234-I234,"")</f>
        <v/>
      </c>
      <c r="K234" s="37">
        <f>IF(AND(G234&lt;&gt;"",G234&lt;&gt;0),J234/G234,"")</f>
        <v/>
      </c>
      <c r="L234" s="26" t="inlineStr">
        <is>
          <t>Art Deco revival. Check for genuine marcasite/sterling.</t>
        </is>
      </c>
    </row>
    <row r="235" ht="15" customHeight="1" s="27">
      <c r="A235" s="26" t="inlineStr">
        <is>
          <t>NK_ST_PD_026</t>
        </is>
      </c>
      <c r="B235" s="26" t="inlineStr">
        <is>
          <t>necklace</t>
        </is>
      </c>
      <c r="C235" s="26" t="inlineStr">
        <is>
          <t>Vintage Moonstone-Style Halo Pendant Necklace</t>
        </is>
      </c>
      <c r="D235" s="26" t="inlineStr">
        <is>
          <t>Oval white cabochon with a soft glow, encircled by a rhinestone halo.</t>
        </is>
      </c>
      <c r="G235" s="35" t="n">
        <v>32.5</v>
      </c>
      <c r="H235" s="35" t="n"/>
      <c r="I235" s="35" t="n"/>
      <c r="J235" s="36">
        <f>IF(AND(G235&lt;&gt;"",I235&lt;&gt;""),G235-I235,"")</f>
        <v/>
      </c>
      <c r="K235" s="37">
        <f>IF(AND(G235&lt;&gt;"",G235&lt;&gt;0),J235/G235,"")</f>
        <v/>
      </c>
      <c r="L235" s="26" t="inlineStr">
        <is>
          <t>Art Deco revival. Check for genuine moonstone.</t>
        </is>
      </c>
    </row>
    <row r="236" ht="15" customHeight="1" s="27">
      <c r="A236" s="26" t="inlineStr">
        <is>
          <t>NK_ST_ST_002</t>
        </is>
      </c>
      <c r="B236" s="26" t="inlineStr">
        <is>
          <t>necklace</t>
        </is>
      </c>
      <c r="C236" s="26" t="inlineStr">
        <is>
          <t>Vintage Silver Tone Graduated Station Necklace</t>
        </is>
      </c>
      <c r="D236" s="26" t="inlineStr">
        <is>
          <t>Silver-toned oval bar links alternating with graduated round bezel-set crystals.</t>
        </is>
      </c>
      <c r="E236" s="26" t="inlineStr">
        <is>
          <t>Silver Tone</t>
        </is>
      </c>
      <c r="G236" s="35" t="n">
        <v>27.5</v>
      </c>
      <c r="H236" s="35" t="n"/>
      <c r="I236" s="35" t="n"/>
      <c r="J236" s="36">
        <f>IF(AND(G236&lt;&gt;"",I236&lt;&gt;""),G236-I236,"")</f>
        <v/>
      </c>
      <c r="K236" s="37">
        <f>IF(AND(G236&lt;&gt;"",G236&lt;&gt;0),J236/G236,"")</f>
        <v/>
      </c>
      <c r="L236" s="26" t="inlineStr">
        <is>
          <t>Early 2000s aesthetic. Check for sterling silver marks.</t>
        </is>
      </c>
    </row>
    <row r="237" ht="15" customHeight="1" s="27">
      <c r="A237" s="26" t="inlineStr">
        <is>
          <t>NK_ST_ST_024</t>
        </is>
      </c>
      <c r="B237" s="26" t="inlineStr">
        <is>
          <t>necklace</t>
        </is>
      </c>
      <c r="C237" s="26" t="inlineStr">
        <is>
          <t>Vintage Minimalist Silver-Tone Station Bead Necklace</t>
        </is>
      </c>
      <c r="D237" s="26" t="inlineStr">
        <is>
          <t>Delicate chain with small polished spherical bead "satellite" stations.</t>
        </is>
      </c>
      <c r="E237" s="26" t="inlineStr">
        <is>
          <t>Silver Tone</t>
        </is>
      </c>
      <c r="G237" s="35" t="n">
        <v>20</v>
      </c>
      <c r="H237" s="35" t="n"/>
      <c r="I237" s="35" t="n"/>
      <c r="J237" s="36">
        <f>IF(AND(G237&lt;&gt;"",I237&lt;&gt;""),G237-I237,"")</f>
        <v/>
      </c>
      <c r="K237" s="37">
        <f>IF(AND(G237&lt;&gt;"",G237&lt;&gt;0),J237/G237,"")</f>
        <v/>
      </c>
      <c r="L237" s="26" t="inlineStr">
        <is>
          <t>Minimalist everyday piece. Check for "925".</t>
        </is>
      </c>
    </row>
    <row r="238" ht="15" customHeight="1" s="27">
      <c r="A238" s="26" t="inlineStr">
        <is>
          <t>NK_TC_BE_016</t>
        </is>
      </c>
      <c r="B238" s="26" t="inlineStr">
        <is>
          <t>necklace</t>
        </is>
      </c>
      <c r="C238" s="26" t="inlineStr">
        <is>
          <t>Vintage Matte Terracotta Resin Statement Necklace</t>
        </is>
      </c>
      <c r="D238" s="26" t="inlineStr">
        <is>
          <t>Chunky matte terracotta beads with sculptural links on a bronze-tone chain.</t>
        </is>
      </c>
      <c r="G238" s="35" t="n">
        <v>40</v>
      </c>
      <c r="H238" s="35" t="n"/>
      <c r="I238" s="35" t="n"/>
      <c r="J238" s="36">
        <f>IF(AND(G238&lt;&gt;"",I238&lt;&gt;""),G238-I238,"")</f>
        <v/>
      </c>
      <c r="K238" s="37">
        <f>IF(AND(G238&lt;&gt;"",G238&lt;&gt;0),J238/G238,"")</f>
        <v/>
      </c>
      <c r="L238" s="26" t="inlineStr">
        <is>
          <t>1980s Modernist style. Check for artisan signatures.</t>
        </is>
      </c>
    </row>
    <row r="239" ht="15" customHeight="1" s="27">
      <c r="A239" s="26" t="inlineStr">
        <is>
          <t>NK_TSB_</t>
        </is>
      </c>
      <c r="B239" s="26" t="inlineStr">
        <is>
          <t>necklace</t>
        </is>
      </c>
      <c r="C239" s="26" t="inlineStr">
        <is>
          <t>Triple Strand Blue Cobalt Mix:</t>
        </is>
      </c>
      <c r="D239" s="26" t="inlineStr">
        <is>
          <t>Vintage Triple Strand Cobalt and Navy Blue Faceted Bead Statement Necklace.</t>
        </is>
      </c>
      <c r="G239" s="35" t="n"/>
      <c r="H239" s="35" t="n"/>
      <c r="I239" s="35" t="n"/>
      <c r="J239" s="36">
        <f>IF(AND(G239&lt;&gt;"",I239&lt;&gt;""),G239-I239,"")</f>
        <v/>
      </c>
      <c r="K239" s="37">
        <f>IF(AND(G239&lt;&gt;"",G239&lt;&gt;0),J239/G239,"")</f>
        <v/>
      </c>
      <c r="L239" s="26" t="inlineStr">
        <is>
          <t>SKU: NK-TSB-</t>
        </is>
      </c>
    </row>
    <row r="240" ht="15" customHeight="1" s="27">
      <c r="A240" s="26" t="inlineStr">
        <is>
          <t>NK_TS_</t>
        </is>
      </c>
      <c r="B240" s="26" t="inlineStr">
        <is>
          <t>necklace</t>
        </is>
      </c>
      <c r="C240" s="26" t="inlineStr">
        <is>
          <t>Triple Strand Gold/Champagne Pearl:</t>
        </is>
      </c>
      <c r="D240" s="26" t="inlineStr">
        <is>
          <t>Vintage Triple Strand Champagne Gold Faux Pearl Graduated Necklace.</t>
        </is>
      </c>
      <c r="G240" s="35" t="n"/>
      <c r="H240" s="35" t="n"/>
      <c r="I240" s="35" t="n"/>
      <c r="J240" s="36">
        <f>IF(AND(G240&lt;&gt;"",I240&lt;&gt;""),G240-I240,"")</f>
        <v/>
      </c>
      <c r="K240" s="37">
        <f>IF(AND(G240&lt;&gt;"",G240&lt;&gt;0),J240/G240,"")</f>
        <v/>
      </c>
      <c r="L240" s="26" t="inlineStr">
        <is>
          <t>SKU: NK-TS-</t>
        </is>
      </c>
    </row>
    <row r="241" ht="15" customHeight="1" s="27">
      <c r="A241" s="26" t="inlineStr">
        <is>
          <t>NK_TS_ST_018</t>
        </is>
      </c>
      <c r="B241" s="26" t="inlineStr">
        <is>
          <t>necklace</t>
        </is>
      </c>
      <c r="C241" s="26" t="inlineStr">
        <is>
          <t>Vintage Tortoise Shell &amp; Silver Link Sautoir</t>
        </is>
      </c>
      <c r="D241" s="26" t="inlineStr">
        <is>
          <t>Oversized tortoise resin links alternating with polished silver-tone rings.</t>
        </is>
      </c>
      <c r="G241" s="35" t="n">
        <v>50</v>
      </c>
      <c r="H241" s="35" t="n"/>
      <c r="I241" s="35" t="n"/>
      <c r="J241" s="36">
        <f>IF(AND(G241&lt;&gt;"",I241&lt;&gt;""),G241-I241,"")</f>
        <v/>
      </c>
      <c r="K241" s="37">
        <f>IF(AND(G241&lt;&gt;"",G241&lt;&gt;0),J241/G241,"")</f>
        <v/>
      </c>
      <c r="L241" s="26" t="inlineStr">
        <is>
          <t>1970s geometric style. Higher value if RL or signed.</t>
        </is>
      </c>
    </row>
    <row r="242" ht="15" customHeight="1" s="27">
      <c r="A242" s="26" t="inlineStr">
        <is>
          <t>NK_VP</t>
        </is>
      </c>
      <c r="B242" s="26" t="inlineStr">
        <is>
          <t>necklace</t>
        </is>
      </c>
      <c r="C242" s="26" t="inlineStr">
        <is>
          <t>Vibrant Pink Agate or Glass:</t>
        </is>
      </c>
      <c r="D242" s="26" t="inlineStr">
        <is>
          <t xml:space="preserve"> A single-strand choker featuring bold, translucent pink stones or glass beads in varied sizes. The intense color and irregular shapes suggest a contemporary artisan piece.</t>
        </is>
      </c>
      <c r="G242" s="35" t="n">
        <v>57.5</v>
      </c>
      <c r="H242" s="35" t="n"/>
      <c r="I242" s="35" t="n"/>
      <c r="J242" s="36">
        <f>IF(AND(G242&lt;&gt;"",I242&lt;&gt;""),G242-I242,"")</f>
        <v/>
      </c>
      <c r="K242" s="37">
        <f>IF(AND(G242&lt;&gt;"",G242&lt;&gt;0),J242/G242,"")</f>
        <v/>
      </c>
      <c r="L242" s="26" t="inlineStr">
        <is>
          <t>SKU: NK-VP</t>
        </is>
      </c>
    </row>
    <row r="243" ht="15" customHeight="1" s="27">
      <c r="A243" s="26" t="inlineStr">
        <is>
          <t>NK_VP_PD_001</t>
        </is>
      </c>
      <c r="B243" s="26" t="inlineStr">
        <is>
          <t>necklace</t>
        </is>
      </c>
      <c r="C243" s="26" t="inlineStr">
        <is>
          <t>Vintage Silver Tone Playboy Bunny Y-Necklace</t>
        </is>
      </c>
      <c r="D243" s="26" t="inlineStr">
        <is>
          <t>Y-shaped necklace with Playboy logo pendant and rhinestone-encrusted drop.</t>
        </is>
      </c>
      <c r="E243" s="26" t="inlineStr">
        <is>
          <t>Silver Tone</t>
        </is>
      </c>
      <c r="G243" s="35" t="n">
        <v>35</v>
      </c>
      <c r="H243" s="35" t="n"/>
      <c r="I243" s="35" t="n"/>
      <c r="J243" s="36">
        <f>IF(AND(G243&lt;&gt;"",I243&lt;&gt;""),G243-I243,"")</f>
        <v/>
      </c>
      <c r="K243" s="37">
        <f>IF(AND(G243&lt;&gt;"",G243&lt;&gt;0),J243/G243,"")</f>
        <v/>
      </c>
      <c r="L243" s="26" t="inlineStr">
        <is>
          <t>Y2K style; check for "925" stamp for higher value.</t>
        </is>
      </c>
    </row>
    <row r="244" ht="15" customHeight="1" s="27">
      <c r="A244" s="26" t="inlineStr">
        <is>
          <t>NK_VW_</t>
        </is>
      </c>
      <c r="B244" s="26" t="inlineStr">
        <is>
          <t>necklace</t>
        </is>
      </c>
      <c r="C244" s="26" t="inlineStr">
        <is>
          <t>Vintage White Leaf Choker</t>
        </is>
      </c>
      <c r="D244" s="26" t="inlineStr">
        <is>
          <t>A classic mid-century style piece featuring interlocking white enamel or molded glass leaves. This design is characteristic of vintage costume jewelry from the 1950s or 60s.</t>
        </is>
      </c>
      <c r="G244" s="35" t="n">
        <v>37.5</v>
      </c>
      <c r="H244" s="35" t="n"/>
      <c r="I244" s="35" t="n"/>
      <c r="J244" s="36">
        <f>IF(AND(G244&lt;&gt;"",I244&lt;&gt;""),G244-I244,"")</f>
        <v/>
      </c>
      <c r="K244" s="37">
        <f>IF(AND(G244&lt;&gt;"",G244&lt;&gt;0),J244/G244,"")</f>
        <v/>
      </c>
      <c r="L244" s="26" t="inlineStr">
        <is>
          <t>SKU: NK-VW-</t>
        </is>
      </c>
    </row>
    <row r="245" ht="15" customHeight="1" s="27">
      <c r="A245" s="26" t="inlineStr">
        <is>
          <t>NK_WD_CO_009</t>
        </is>
      </c>
      <c r="B245" s="26" t="inlineStr">
        <is>
          <t>necklace</t>
        </is>
      </c>
      <c r="C245" s="26" t="inlineStr">
        <is>
          <t>Vintage Triple Strand Woven Wood Bead Collar</t>
        </is>
      </c>
      <c r="D245" s="26" t="inlineStr">
        <is>
          <t>Three strands of cream and orange wood beads in a woven collar style.</t>
        </is>
      </c>
      <c r="E245" s="26" t="inlineStr">
        <is>
          <t>Mixed Materials</t>
        </is>
      </c>
      <c r="G245" s="35" t="n">
        <v>32.5</v>
      </c>
      <c r="H245" s="35" t="n"/>
      <c r="I245" s="35" t="n"/>
      <c r="J245" s="36">
        <f>IF(AND(G245&lt;&gt;"",I245&lt;&gt;""),G245-I245,"")</f>
        <v/>
      </c>
      <c r="K245" s="37">
        <f>IF(AND(G245&lt;&gt;"",G245&lt;&gt;0),J245/G245,"")</f>
        <v/>
      </c>
      <c r="L245" s="26" t="inlineStr">
        <is>
          <t>Natural 70s Tribal aesthetic. Avoid moisture.</t>
        </is>
      </c>
    </row>
    <row r="246" ht="15" customHeight="1" s="27">
      <c r="A246" s="26" t="inlineStr">
        <is>
          <t>NK_WD_HM_084</t>
        </is>
      </c>
      <c r="B246" s="26" t="inlineStr">
        <is>
          <t>necklace</t>
        </is>
      </c>
      <c r="C246" s="26" t="inlineStr">
        <is>
          <t>Wood &amp; Hematite</t>
        </is>
      </c>
      <c r="D246" s="26" t="inlineStr">
        <is>
          <t>Long cream oval wood beads with faceted hematite.</t>
        </is>
      </c>
      <c r="E246" s="26" t="inlineStr">
        <is>
          <t>Mixed Materials</t>
        </is>
      </c>
      <c r="G246" s="35" t="n">
        <v>28.5</v>
      </c>
      <c r="H246" s="35" t="n"/>
      <c r="I246" s="35" t="n"/>
      <c r="J246" s="36">
        <f>IF(AND(G246&lt;&gt;"",I246&lt;&gt;""),G246-I246,"")</f>
        <v/>
      </c>
      <c r="K246" s="37">
        <f>IF(AND(G246&lt;&gt;"",G246&lt;&gt;0),J246/G246,"")</f>
        <v/>
      </c>
      <c r="L246" s="26" t="inlineStr">
        <is>
          <t>SKU: NK-WD-HM-084</t>
        </is>
      </c>
    </row>
    <row r="247" ht="15" customHeight="1" s="27">
      <c r="A247" s="26" t="inlineStr">
        <is>
          <t>NK_WE_</t>
        </is>
      </c>
      <c r="B247" s="26" t="inlineStr">
        <is>
          <t>necklace</t>
        </is>
      </c>
      <c r="C247" s="26" t="inlineStr">
        <is>
          <t>White Enamel Link Choker:</t>
        </is>
      </c>
      <c r="D247" s="26" t="inlineStr">
        <is>
          <t xml:space="preserve"> Vintage 1950s Style White Enamel Leaf Link Textured Choker.</t>
        </is>
      </c>
      <c r="G247" s="35" t="n"/>
      <c r="H247" s="35" t="n"/>
      <c r="I247" s="35" t="n"/>
      <c r="J247" s="36">
        <f>IF(AND(G247&lt;&gt;"",I247&lt;&gt;""),G247-I247,"")</f>
        <v/>
      </c>
      <c r="K247" s="37">
        <f>IF(AND(G247&lt;&gt;"",G247&lt;&gt;0),J247/G247,"")</f>
        <v/>
      </c>
      <c r="L247" s="26" t="inlineStr">
        <is>
          <t>SKU: NK-WE-</t>
        </is>
      </c>
    </row>
    <row r="248" ht="15" customHeight="1" s="27">
      <c r="A248" s="26" t="inlineStr">
        <is>
          <t>NK_WT_PE_039</t>
        </is>
      </c>
      <c r="B248" s="26" t="inlineStr">
        <is>
          <t>necklace</t>
        </is>
      </c>
      <c r="C248" s="26" t="inlineStr">
        <is>
          <t>Double Strand Long Faux Pearl Necklace</t>
        </is>
      </c>
      <c r="D248" s="26" t="inlineStr">
        <is>
          <t>Classic long-length twin strands of uniform white faux pearls.</t>
        </is>
      </c>
      <c r="G248" s="35" t="n">
        <v>30</v>
      </c>
      <c r="H248" s="35" t="n"/>
      <c r="I248" s="35" t="n"/>
      <c r="J248" s="36">
        <f>IF(AND(G248&lt;&gt;"",I248&lt;&gt;""),G248-I248,"")</f>
        <v/>
      </c>
      <c r="K248" s="37">
        <f>IF(AND(G248&lt;&gt;"",G248&lt;&gt;0),J248/G248,"")</f>
        <v/>
      </c>
      <c r="L248" s="26" t="inlineStr">
        <is>
          <t>Timeless staple; can be worn long or layered.</t>
        </is>
      </c>
    </row>
    <row r="249" ht="15" customHeight="1" s="27">
      <c r="A249" s="26" t="inlineStr">
        <is>
          <t>NK_WT_ST_040</t>
        </is>
      </c>
      <c r="B249" s="26" t="inlineStr">
        <is>
          <t>necklace</t>
        </is>
      </c>
      <c r="C249" s="26" t="inlineStr">
        <is>
          <t>White and Clear Crackle Glass Marquise Necklace</t>
        </is>
      </c>
      <c r="D249" s="26" t="inlineStr">
        <is>
          <t>Graduated white beads with clear crackle glass marquise focal beads.</t>
        </is>
      </c>
      <c r="G249" s="35" t="n">
        <v>28.5</v>
      </c>
      <c r="H249" s="35" t="n"/>
      <c r="I249" s="35" t="n"/>
      <c r="J249" s="36">
        <f>IF(AND(G249&lt;&gt;"",I249&lt;&gt;""),G249-I249,"")</f>
        <v/>
      </c>
      <c r="K249" s="37">
        <f>IF(AND(G249&lt;&gt;"",G249&lt;&gt;0),J249/G249,"")</f>
        <v/>
      </c>
      <c r="L249" s="26" t="inlineStr">
        <is>
          <t>1980s "Summer White" style. Check for milk glass.</t>
        </is>
      </c>
    </row>
    <row r="250" ht="15" customHeight="1" s="27">
      <c r="A250" s="26" t="inlineStr">
        <is>
          <t>NK_YL_BE_010</t>
        </is>
      </c>
      <c r="B250" s="26" t="inlineStr">
        <is>
          <t>necklace</t>
        </is>
      </c>
      <c r="C250" s="26" t="inlineStr">
        <is>
          <t>Vintage 1960s Mod Yellow &amp; Silver Beaded Choker</t>
        </is>
      </c>
      <c r="D250" s="26" t="inlineStr">
        <is>
          <t>Alternating vibrant yellow and textured silver-tone beads in a choker style.</t>
        </is>
      </c>
      <c r="E250" s="26" t="inlineStr">
        <is>
          <t>Mixed Materials</t>
        </is>
      </c>
      <c r="G250" s="35" t="n">
        <v>27.5</v>
      </c>
      <c r="H250" s="35" t="n"/>
      <c r="I250" s="35" t="n"/>
      <c r="J250" s="36">
        <f>IF(AND(G250&lt;&gt;"",I250&lt;&gt;""),G250-I250,"")</f>
        <v/>
      </c>
      <c r="K250" s="37">
        <f>IF(AND(G250&lt;&gt;"",G250&lt;&gt;0),J250/G250,"")</f>
        <v/>
      </c>
      <c r="L250" s="26" t="inlineStr">
        <is>
          <t>1960s Mod style. Check for Bakelite "clunk" sound.</t>
        </is>
      </c>
    </row>
    <row r="251" ht="15" customHeight="1" s="27">
      <c r="A251" s="26" t="inlineStr">
        <is>
          <t>NK_YW_BE_011</t>
        </is>
      </c>
      <c r="B251" s="26" t="inlineStr">
        <is>
          <t>necklace</t>
        </is>
      </c>
      <c r="C251" s="26" t="inlineStr">
        <is>
          <t>Vintage 1960s Mod Yellow &amp; White Opera Necklace</t>
        </is>
      </c>
      <c r="D251" s="26" t="inlineStr">
        <is>
          <t>Extra-long opera-length strand with vibrant yellow and creamy white beads.</t>
        </is>
      </c>
      <c r="G251" s="35" t="n">
        <v>17.5</v>
      </c>
      <c r="H251" s="35" t="n"/>
      <c r="I251" s="35" t="n"/>
      <c r="J251" s="36">
        <f>IF(AND(G251&lt;&gt;"",I251&lt;&gt;""),G251-I251,"")</f>
        <v/>
      </c>
      <c r="K251" s="37">
        <f>IF(AND(G251&lt;&gt;"",G251&lt;&gt;0),J251/G251,"")</f>
        <v/>
      </c>
      <c r="L251" s="26" t="inlineStr">
        <is>
          <t>Lightweight acrylic; can be worn long or doubled.</t>
        </is>
      </c>
    </row>
    <row r="252" ht="15" customHeight="1" s="27">
      <c r="A252" s="26" t="inlineStr">
        <is>
          <t>NK_YW_SH_015</t>
        </is>
      </c>
      <c r="B252" s="26" t="inlineStr">
        <is>
          <t>necklace</t>
        </is>
      </c>
      <c r="C252" s="26" t="inlineStr">
        <is>
          <t>Hawaiian Yellow &amp; White Mongo Shell Lei</t>
        </is>
      </c>
      <c r="D252" s="26" t="inlineStr">
        <is>
          <t>Handcrafted spiral-weave lei made of vibrant yellow and white Mongo shells.</t>
        </is>
      </c>
      <c r="G252" s="35" t="n">
        <v>25.5</v>
      </c>
      <c r="H252" s="35" t="n"/>
      <c r="I252" s="35" t="n"/>
      <c r="J252" s="36">
        <f>IF(AND(G252&lt;&gt;"",I252&lt;&gt;""),G252-I252,"")</f>
        <v/>
      </c>
      <c r="K252" s="37">
        <f>IF(AND(G252&lt;&gt;"",G252&lt;&gt;0),J252/G252,"")</f>
        <v/>
      </c>
      <c r="L252" s="26" t="inlineStr">
        <is>
          <t>Classic tropical souvenir. Check for lustrous Momi shells.</t>
        </is>
      </c>
    </row>
    <row r="253" ht="15" customHeight="1" s="27">
      <c r="A253" s="26" t="inlineStr">
        <is>
          <t>PIID000026</t>
        </is>
      </c>
      <c r="B253" s="26" t="inlineStr">
        <is>
          <t>necklace</t>
        </is>
      </c>
      <c r="C253" s="26" t="inlineStr">
        <is>
          <t>Natural Freshwater pink pearl necklace</t>
        </is>
      </c>
      <c r="D253" s="26" t="inlineStr">
        <is>
          <t>Freshwater natural pearl necklace stamped 925</t>
        </is>
      </c>
      <c r="E253" s="26" t="inlineStr">
        <is>
          <t>925 Sterling Silver</t>
        </is>
      </c>
      <c r="F253" s="26" t="inlineStr">
        <is>
          <t>16 inches</t>
        </is>
      </c>
      <c r="G253" s="35" t="n"/>
      <c r="H253" s="35" t="n">
        <v>55</v>
      </c>
      <c r="I253" s="35" t="n">
        <v>25</v>
      </c>
      <c r="J253" s="36">
        <f>IF(AND(G253&lt;&gt;"",I253&lt;&gt;""),G253-I253,"")</f>
        <v/>
      </c>
      <c r="K253" s="37">
        <f>IF(AND(G253&lt;&gt;"",G253&lt;&gt;0),J253/G253,"")</f>
        <v/>
      </c>
    </row>
    <row r="254" ht="15" customHeight="1" s="27">
      <c r="A254" s="26" t="inlineStr">
        <is>
          <t>SKU</t>
        </is>
      </c>
      <c r="B254" s="26" t="inlineStr">
        <is>
          <t>necklace</t>
        </is>
      </c>
      <c r="C254" s="26" t="inlineStr">
        <is>
          <t>Title</t>
        </is>
      </c>
      <c r="D254" s="26" t="inlineStr">
        <is>
          <t>Description</t>
        </is>
      </c>
      <c r="G254" s="35" t="n"/>
      <c r="H254" s="35" t="n"/>
      <c r="I254" s="35" t="n"/>
      <c r="J254" s="36">
        <f>IF(AND(G254&lt;&gt;"",I254&lt;&gt;""),G254-I254,"")</f>
        <v/>
      </c>
      <c r="K254" s="37">
        <f>IF(AND(G254&lt;&gt;"",G254&lt;&gt;0),J254/G254,"")</f>
        <v/>
      </c>
      <c r="L254" s="26" t="inlineStr">
        <is>
          <t>Notes</t>
        </is>
      </c>
    </row>
    <row r="255" ht="15" customHeight="1" s="27">
      <c r="A255" s="26" t="inlineStr">
        <is>
          <t>PIID000029</t>
        </is>
      </c>
      <c r="B255" s="26" t="inlineStr">
        <is>
          <t>ring</t>
        </is>
      </c>
      <c r="C255" s="26" t="inlineStr">
        <is>
          <t>Taxco Mexico Sterling silver rainbow opal ring</t>
        </is>
      </c>
      <c r="D255" s="26" t="inlineStr">
        <is>
          <t>taxco mexico sterling silver.  Mexico 925 stamp.  Opal center stone</t>
        </is>
      </c>
      <c r="E255" s="26" t="inlineStr">
        <is>
          <t>925 Sterling Silver</t>
        </is>
      </c>
      <c r="F255" s="26" t="inlineStr">
        <is>
          <t>10</t>
        </is>
      </c>
      <c r="G255" s="35" t="n"/>
      <c r="H255" s="35" t="n">
        <v>299</v>
      </c>
      <c r="I255" s="35" t="n"/>
      <c r="J255" s="36">
        <f>IF(AND(G255&lt;&gt;"",I255&lt;&gt;""),G255-I255,"")</f>
        <v/>
      </c>
      <c r="K255" s="37">
        <f>IF(AND(G255&lt;&gt;"",G255&lt;&gt;0),J255/G255,"")</f>
        <v/>
      </c>
    </row>
    <row r="256" ht="15" customHeight="1" s="27">
      <c r="A256" s="26" t="inlineStr">
        <is>
          <t>PIID000032</t>
        </is>
      </c>
      <c r="B256" s="26" t="inlineStr">
        <is>
          <t>ring</t>
        </is>
      </c>
      <c r="C256" s="26" t="inlineStr">
        <is>
          <t>gold, topaz, pass diamond tester</t>
        </is>
      </c>
      <c r="G256" s="35" t="n"/>
      <c r="H256" s="35" t="n"/>
      <c r="I256" s="35" t="n">
        <v>3</v>
      </c>
      <c r="J256" s="36">
        <f>IF(AND(G256&lt;&gt;"",I256&lt;&gt;""),G256-I256,"")</f>
        <v/>
      </c>
      <c r="K256" s="37">
        <f>IF(AND(G256&lt;&gt;"",G256&lt;&gt;0),J256/G256,"")</f>
        <v/>
      </c>
    </row>
    <row r="257" ht="15" customHeight="1" s="27">
      <c r="A257" s="26" t="inlineStr">
        <is>
          <t>PIID000033</t>
        </is>
      </c>
      <c r="B257" s="26" t="inlineStr">
        <is>
          <t>ring</t>
        </is>
      </c>
      <c r="C257" s="26" t="inlineStr">
        <is>
          <t>925, mother of pearl</t>
        </is>
      </c>
      <c r="G257" s="35" t="n"/>
      <c r="H257" s="35" t="n"/>
      <c r="I257" s="35" t="n">
        <v>3</v>
      </c>
      <c r="J257" s="36">
        <f>IF(AND(G257&lt;&gt;"",I257&lt;&gt;""),G257-I257,"")</f>
        <v/>
      </c>
      <c r="K257" s="37">
        <f>IF(AND(G257&lt;&gt;"",G257&lt;&gt;0),J257/G257,"")</f>
        <v/>
      </c>
    </row>
    <row r="258" ht="15" customHeight="1" s="27">
      <c r="A258" s="26" t="inlineStr">
        <is>
          <t>PIID000034</t>
        </is>
      </c>
      <c r="B258" s="26" t="inlineStr">
        <is>
          <t>ring</t>
        </is>
      </c>
      <c r="C258" s="26" t="inlineStr">
        <is>
          <t>925, other of pearl</t>
        </is>
      </c>
      <c r="G258" s="35" t="n"/>
      <c r="H258" s="35" t="n"/>
      <c r="I258" s="35" t="n">
        <v>3</v>
      </c>
      <c r="J258" s="36">
        <f>IF(AND(G258&lt;&gt;"",I258&lt;&gt;""),G258-I258,"")</f>
        <v/>
      </c>
      <c r="K258" s="37">
        <f>IF(AND(G258&lt;&gt;"",G258&lt;&gt;0),J258/G258,"")</f>
        <v/>
      </c>
    </row>
    <row r="259" ht="15" customHeight="1" s="27">
      <c r="A259" s="26" t="inlineStr">
        <is>
          <t>RING_PP101</t>
        </is>
      </c>
      <c r="B259" s="26" t="inlineStr">
        <is>
          <t>ring</t>
        </is>
      </c>
      <c r="C259" s="26" t="inlineStr">
        <is>
          <t>Ring - Photo Print 101</t>
        </is>
      </c>
      <c r="D259" s="26" t="inlineStr">
        <is>
          <t>Photo Print ID: Photo Print 101</t>
        </is>
      </c>
      <c r="G259" s="35" t="n"/>
      <c r="H259" s="35" t="n"/>
      <c r="I259" s="35" t="n"/>
      <c r="J259" s="36">
        <f>IF(AND(G259&lt;&gt;"",I259&lt;&gt;""),G259-I259,"")</f>
        <v/>
      </c>
      <c r="K259" s="37">
        <f>IF(AND(G259&lt;&gt;"",G259&lt;&gt;0),J259/G259,"")</f>
        <v/>
      </c>
      <c r="L259" s="26" t="inlineStr">
        <is>
          <t>Photo Print: Photo Print 101</t>
        </is>
      </c>
      <c r="M259" s="38" t="inlineStr">
        <is>
          <t>https://cdn.shopify.com/s/files/1/0936/8656/3183/files/PXL_20251107_203937443.jpg?v=1762841835</t>
        </is>
      </c>
    </row>
    <row r="260" ht="15" customHeight="1" s="27">
      <c r="A260" s="26" t="inlineStr">
        <is>
          <t>RING_PP112</t>
        </is>
      </c>
      <c r="B260" s="26" t="inlineStr">
        <is>
          <t>ring</t>
        </is>
      </c>
      <c r="C260" s="26" t="inlineStr">
        <is>
          <t>Ring - Photo Print 112</t>
        </is>
      </c>
      <c r="D260" s="26" t="inlineStr">
        <is>
          <t>Photo Print ID: Photo Print 112</t>
        </is>
      </c>
      <c r="G260" s="35" t="n"/>
      <c r="H260" s="35" t="n"/>
      <c r="I260" s="35" t="n"/>
      <c r="J260" s="36">
        <f>IF(AND(G260&lt;&gt;"",I260&lt;&gt;""),G260-I260,"")</f>
        <v/>
      </c>
      <c r="K260" s="37">
        <f>IF(AND(G260&lt;&gt;"",G260&lt;&gt;0),J260/G260,"")</f>
        <v/>
      </c>
      <c r="L260" s="26" t="inlineStr">
        <is>
          <t>Photo Print: Photo Print 112</t>
        </is>
      </c>
      <c r="M260" s="38" t="inlineStr">
        <is>
          <t>https://cdn.shopify.com/s/files/1/0936/8656/3183/files/PXL_20251107_203646989.jpg?v=1762841836</t>
        </is>
      </c>
    </row>
    <row r="261" ht="15" customHeight="1" s="27">
      <c r="A261" s="26" t="inlineStr">
        <is>
          <t>RING_PP113</t>
        </is>
      </c>
      <c r="B261" s="26" t="inlineStr">
        <is>
          <t>ring</t>
        </is>
      </c>
      <c r="C261" s="26" t="inlineStr">
        <is>
          <t>Ring - Photo Print 113</t>
        </is>
      </c>
      <c r="D261" s="26" t="inlineStr">
        <is>
          <t>Photo Print ID: Photo Print 113</t>
        </is>
      </c>
      <c r="G261" s="35" t="n"/>
      <c r="H261" s="35" t="n"/>
      <c r="I261" s="35" t="n"/>
      <c r="J261" s="36">
        <f>IF(AND(G261&lt;&gt;"",I261&lt;&gt;""),G261-I261,"")</f>
        <v/>
      </c>
      <c r="K261" s="37">
        <f>IF(AND(G261&lt;&gt;"",G261&lt;&gt;0),J261/G261,"")</f>
        <v/>
      </c>
      <c r="L261" s="26" t="inlineStr">
        <is>
          <t>Photo Print: Photo Print 113</t>
        </is>
      </c>
      <c r="M261" s="38" t="inlineStr">
        <is>
          <t>https://cdn.shopify.com/s/files/1/0936/8656/3183/files/PXL_20251107_204541238.jpg?v=1762841836</t>
        </is>
      </c>
    </row>
    <row r="262" ht="15" customHeight="1" s="27">
      <c r="A262" s="26" t="inlineStr">
        <is>
          <t>RING_PP117</t>
        </is>
      </c>
      <c r="B262" s="26" t="inlineStr">
        <is>
          <t>ring</t>
        </is>
      </c>
      <c r="C262" s="26" t="inlineStr">
        <is>
          <t>Ring - Photo Print 117</t>
        </is>
      </c>
      <c r="D262" s="26" t="inlineStr">
        <is>
          <t>Photo Print ID: Photo Print 117</t>
        </is>
      </c>
      <c r="G262" s="35" t="n"/>
      <c r="H262" s="35" t="n"/>
      <c r="I262" s="35" t="n"/>
      <c r="J262" s="36">
        <f>IF(AND(G262&lt;&gt;"",I262&lt;&gt;""),G262-I262,"")</f>
        <v/>
      </c>
      <c r="K262" s="37">
        <f>IF(AND(G262&lt;&gt;"",G262&lt;&gt;0),J262/G262,"")</f>
        <v/>
      </c>
      <c r="L262" s="26" t="inlineStr">
        <is>
          <t>Photo Print: Photo Print 117</t>
        </is>
      </c>
      <c r="M262" s="38" t="inlineStr">
        <is>
          <t>https://cdn.shopify.com/s/files/1/0936/8656/3183/files/PXL_20251107_204921329.jpg?v=1762841836</t>
        </is>
      </c>
    </row>
    <row r="263" ht="15" customHeight="1" s="27">
      <c r="A263" s="26" t="inlineStr">
        <is>
          <t>RING_PP120</t>
        </is>
      </c>
      <c r="B263" s="26" t="inlineStr">
        <is>
          <t>ring</t>
        </is>
      </c>
      <c r="C263" s="26" t="inlineStr">
        <is>
          <t>Ring - Photo Print 120</t>
        </is>
      </c>
      <c r="D263" s="26" t="inlineStr">
        <is>
          <t>Photo Print ID: Photo Print 120</t>
        </is>
      </c>
      <c r="G263" s="35" t="n"/>
      <c r="H263" s="35" t="n"/>
      <c r="I263" s="35" t="n"/>
      <c r="J263" s="36">
        <f>IF(AND(G263&lt;&gt;"",I263&lt;&gt;""),G263-I263,"")</f>
        <v/>
      </c>
      <c r="K263" s="37">
        <f>IF(AND(G263&lt;&gt;"",G263&lt;&gt;0),J263/G263,"")</f>
        <v/>
      </c>
      <c r="L263" s="26" t="inlineStr">
        <is>
          <t>Photo Print: Photo Print 120</t>
        </is>
      </c>
      <c r="M263" s="38" t="inlineStr">
        <is>
          <t>https://cdn.shopify.com/s/files/1/0936/8656/3183/files/PXL_20251107_203408558.jpg?v=1762841836</t>
        </is>
      </c>
    </row>
    <row r="264" ht="15" customHeight="1" s="27">
      <c r="A264" s="26" t="inlineStr">
        <is>
          <t>RING_PP122</t>
        </is>
      </c>
      <c r="B264" s="26" t="inlineStr">
        <is>
          <t>ring</t>
        </is>
      </c>
      <c r="C264" s="26" t="inlineStr">
        <is>
          <t>Ring - Photo Print 122</t>
        </is>
      </c>
      <c r="D264" s="26" t="inlineStr">
        <is>
          <t>Photo Print ID: Photo Print 122</t>
        </is>
      </c>
      <c r="G264" s="35" t="n"/>
      <c r="H264" s="35" t="n"/>
      <c r="I264" s="35" t="n"/>
      <c r="J264" s="36">
        <f>IF(AND(G264&lt;&gt;"",I264&lt;&gt;""),G264-I264,"")</f>
        <v/>
      </c>
      <c r="K264" s="37">
        <f>IF(AND(G264&lt;&gt;"",G264&lt;&gt;0),J264/G264,"")</f>
        <v/>
      </c>
      <c r="L264" s="26" t="inlineStr">
        <is>
          <t>Photo Print: Photo Print 122</t>
        </is>
      </c>
      <c r="M264" s="38" t="inlineStr">
        <is>
          <t>https://cdn.shopify.com/s/files/1/0936/8656/3183/files/PXL_20251107_204527489.jpg?v=1762841836</t>
        </is>
      </c>
    </row>
    <row r="265" ht="15" customHeight="1" s="27">
      <c r="A265" s="26" t="inlineStr">
        <is>
          <t>RING_PP123</t>
        </is>
      </c>
      <c r="B265" s="26" t="inlineStr">
        <is>
          <t>ring</t>
        </is>
      </c>
      <c r="C265" s="26" t="inlineStr">
        <is>
          <t>Ring - Photo Print 123</t>
        </is>
      </c>
      <c r="D265" s="26" t="inlineStr">
        <is>
          <t>Photo Print ID: Photo Print 123</t>
        </is>
      </c>
      <c r="G265" s="35" t="n"/>
      <c r="H265" s="35" t="n"/>
      <c r="I265" s="35" t="n"/>
      <c r="J265" s="36">
        <f>IF(AND(G265&lt;&gt;"",I265&lt;&gt;""),G265-I265,"")</f>
        <v/>
      </c>
      <c r="K265" s="37">
        <f>IF(AND(G265&lt;&gt;"",G265&lt;&gt;0),J265/G265,"")</f>
        <v/>
      </c>
      <c r="L265" s="26" t="inlineStr">
        <is>
          <t>Photo Print: Photo Print 123</t>
        </is>
      </c>
      <c r="M265" s="38" t="inlineStr">
        <is>
          <t>https://cdn.shopify.com/s/files/1/0936/8656/3183/files/PXL_20251107_205241111.jpg?v=1762841836</t>
        </is>
      </c>
    </row>
    <row r="266" ht="15" customHeight="1" s="27">
      <c r="A266" s="26" t="inlineStr">
        <is>
          <t>RING_PP124</t>
        </is>
      </c>
      <c r="B266" s="26" t="inlineStr">
        <is>
          <t>ring</t>
        </is>
      </c>
      <c r="C266" s="26" t="inlineStr">
        <is>
          <t>Ring - Photo Print 124</t>
        </is>
      </c>
      <c r="D266" s="26" t="inlineStr">
        <is>
          <t>Photo Print ID: Photo Print 124</t>
        </is>
      </c>
      <c r="G266" s="35" t="n"/>
      <c r="H266" s="35" t="n"/>
      <c r="I266" s="35" t="n"/>
      <c r="J266" s="36">
        <f>IF(AND(G266&lt;&gt;"",I266&lt;&gt;""),G266-I266,"")</f>
        <v/>
      </c>
      <c r="K266" s="37">
        <f>IF(AND(G266&lt;&gt;"",G266&lt;&gt;0),J266/G266,"")</f>
        <v/>
      </c>
      <c r="L266" s="26" t="inlineStr">
        <is>
          <t>Photo Print: Photo Print 124</t>
        </is>
      </c>
      <c r="M266" s="38" t="inlineStr">
        <is>
          <t>https://cdn.shopify.com/s/files/1/0936/8656/3183/files/PXL_20251107_204459650.jpg?v=1762841836</t>
        </is>
      </c>
    </row>
    <row r="267" ht="15" customHeight="1" s="27">
      <c r="A267" s="26" t="inlineStr">
        <is>
          <t>RING_PP126</t>
        </is>
      </c>
      <c r="B267" s="26" t="inlineStr">
        <is>
          <t>ring</t>
        </is>
      </c>
      <c r="C267" s="26" t="inlineStr">
        <is>
          <t>Ring - Photo Print 126</t>
        </is>
      </c>
      <c r="D267" s="26" t="inlineStr">
        <is>
          <t>Photo Print ID: Photo Print 126</t>
        </is>
      </c>
      <c r="G267" s="35" t="n"/>
      <c r="H267" s="35" t="n"/>
      <c r="I267" s="35" t="n"/>
      <c r="J267" s="36">
        <f>IF(AND(G267&lt;&gt;"",I267&lt;&gt;""),G267-I267,"")</f>
        <v/>
      </c>
      <c r="K267" s="37">
        <f>IF(AND(G267&lt;&gt;"",G267&lt;&gt;0),J267/G267,"")</f>
        <v/>
      </c>
      <c r="L267" s="26" t="inlineStr">
        <is>
          <t>Photo Print: Photo Print 126</t>
        </is>
      </c>
      <c r="M267" s="38" t="inlineStr">
        <is>
          <t>https://cdn.shopify.com/s/files/1/0936/8656/3183/files/PXL_20251107_203450235.jpg?v=1762841836</t>
        </is>
      </c>
    </row>
    <row r="268" ht="15" customHeight="1" s="27">
      <c r="A268" s="26" t="inlineStr">
        <is>
          <t>RING_PP127</t>
        </is>
      </c>
      <c r="B268" s="26" t="inlineStr">
        <is>
          <t>ring</t>
        </is>
      </c>
      <c r="C268" s="26" t="inlineStr">
        <is>
          <t>Ring - Photo Print 127</t>
        </is>
      </c>
      <c r="D268" s="26" t="inlineStr">
        <is>
          <t>Photo Print ID: Photo Print 127</t>
        </is>
      </c>
      <c r="G268" s="35" t="n"/>
      <c r="H268" s="35" t="n"/>
      <c r="I268" s="35" t="n"/>
      <c r="J268" s="36">
        <f>IF(AND(G268&lt;&gt;"",I268&lt;&gt;""),G268-I268,"")</f>
        <v/>
      </c>
      <c r="K268" s="37">
        <f>IF(AND(G268&lt;&gt;"",G268&lt;&gt;0),J268/G268,"")</f>
        <v/>
      </c>
      <c r="L268" s="26" t="inlineStr">
        <is>
          <t>Photo Print: Photo Print 127</t>
        </is>
      </c>
      <c r="M268" s="38" t="inlineStr">
        <is>
          <t>https://cdn.shopify.com/s/files/1/0936/8656/3183/files/PXL_20251107_204351043.jpg?v=1762841836</t>
        </is>
      </c>
    </row>
    <row r="269" ht="15" customHeight="1" s="27">
      <c r="A269" s="26" t="inlineStr">
        <is>
          <t>RING_PP128</t>
        </is>
      </c>
      <c r="B269" s="26" t="inlineStr">
        <is>
          <t>ring</t>
        </is>
      </c>
      <c r="C269" s="26" t="inlineStr">
        <is>
          <t>Ring - Photo Print 128</t>
        </is>
      </c>
      <c r="D269" s="26" t="inlineStr">
        <is>
          <t>Photo Print ID: Photo Print 128</t>
        </is>
      </c>
      <c r="G269" s="35" t="n"/>
      <c r="H269" s="35" t="n"/>
      <c r="I269" s="35" t="n"/>
      <c r="J269" s="36">
        <f>IF(AND(G269&lt;&gt;"",I269&lt;&gt;""),G269-I269,"")</f>
        <v/>
      </c>
      <c r="K269" s="37">
        <f>IF(AND(G269&lt;&gt;"",G269&lt;&gt;0),J269/G269,"")</f>
        <v/>
      </c>
      <c r="L269" s="26" t="inlineStr">
        <is>
          <t>Photo Print: Photo Print 128</t>
        </is>
      </c>
      <c r="M269" s="38" t="inlineStr">
        <is>
          <t>https://cdn.shopify.com/s/files/1/0936/8656/3183/files/PXL_20251107_205112072.jpg?v=1762841836</t>
        </is>
      </c>
    </row>
    <row r="270" ht="15" customHeight="1" s="27">
      <c r="A270" s="26" t="inlineStr">
        <is>
          <t>RING_PP130</t>
        </is>
      </c>
      <c r="B270" s="26" t="inlineStr">
        <is>
          <t>ring</t>
        </is>
      </c>
      <c r="C270" s="26" t="inlineStr">
        <is>
          <t>Ring - Photo Print 130</t>
        </is>
      </c>
      <c r="D270" s="26" t="inlineStr">
        <is>
          <t>Photo Print ID: Photo Print 130</t>
        </is>
      </c>
      <c r="G270" s="35" t="n"/>
      <c r="H270" s="35" t="n"/>
      <c r="I270" s="35" t="n"/>
      <c r="J270" s="36">
        <f>IF(AND(G270&lt;&gt;"",I270&lt;&gt;""),G270-I270,"")</f>
        <v/>
      </c>
      <c r="K270" s="37">
        <f>IF(AND(G270&lt;&gt;"",G270&lt;&gt;0),J270/G270,"")</f>
        <v/>
      </c>
      <c r="L270" s="26" t="inlineStr">
        <is>
          <t>Photo Print: Photo Print 130</t>
        </is>
      </c>
      <c r="M270" s="38" t="inlineStr">
        <is>
          <t>https://cdn.shopify.com/s/files/1/0936/8656/3183/files/PXL_20251107_205016172.jpg?v=1762841836</t>
        </is>
      </c>
    </row>
    <row r="271" ht="15" customHeight="1" s="27">
      <c r="A271" s="26" t="inlineStr">
        <is>
          <t>RING_PP131</t>
        </is>
      </c>
      <c r="B271" s="26" t="inlineStr">
        <is>
          <t>ring</t>
        </is>
      </c>
      <c r="C271" s="26" t="inlineStr">
        <is>
          <t>Ring - Photo Print 131</t>
        </is>
      </c>
      <c r="D271" s="26" t="inlineStr">
        <is>
          <t>Photo Print ID: Photo Print 131</t>
        </is>
      </c>
      <c r="G271" s="35" t="n"/>
      <c r="H271" s="35" t="n"/>
      <c r="I271" s="35" t="n"/>
      <c r="J271" s="36">
        <f>IF(AND(G271&lt;&gt;"",I271&lt;&gt;""),G271-I271,"")</f>
        <v/>
      </c>
      <c r="K271" s="37">
        <f>IF(AND(G271&lt;&gt;"",G271&lt;&gt;0),J271/G271,"")</f>
        <v/>
      </c>
      <c r="L271" s="26" t="inlineStr">
        <is>
          <t>Photo Print: Photo Print 131</t>
        </is>
      </c>
      <c r="M271" s="38" t="inlineStr">
        <is>
          <t>https://cdn.shopify.com/s/files/1/0936/8656/3183/files/PXL_20251107_204614130.jpg?v=1762841836</t>
        </is>
      </c>
    </row>
    <row r="272" ht="15" customHeight="1" s="27">
      <c r="A272" s="26" t="inlineStr">
        <is>
          <t>RING_PP132</t>
        </is>
      </c>
      <c r="B272" s="26" t="inlineStr">
        <is>
          <t>ring</t>
        </is>
      </c>
      <c r="C272" s="26" t="inlineStr">
        <is>
          <t>Ring - Photo Print 132</t>
        </is>
      </c>
      <c r="D272" s="26" t="inlineStr">
        <is>
          <t>Photo Print ID: Photo Print 132</t>
        </is>
      </c>
      <c r="G272" s="35" t="n"/>
      <c r="H272" s="35" t="n"/>
      <c r="I272" s="35" t="n"/>
      <c r="J272" s="36">
        <f>IF(AND(G272&lt;&gt;"",I272&lt;&gt;""),G272-I272,"")</f>
        <v/>
      </c>
      <c r="K272" s="37">
        <f>IF(AND(G272&lt;&gt;"",G272&lt;&gt;0),J272/G272,"")</f>
        <v/>
      </c>
      <c r="L272" s="26" t="inlineStr">
        <is>
          <t>Photo Print: Photo Print 132</t>
        </is>
      </c>
      <c r="M272" s="38" t="inlineStr">
        <is>
          <t>https://cdn.shopify.com/s/files/1/0936/8656/3183/files/PXL_20251107_203928741.jpg?v=1762841836</t>
        </is>
      </c>
    </row>
    <row r="273" ht="15" customHeight="1" s="27">
      <c r="A273" s="26" t="inlineStr">
        <is>
          <t>RING_PP133</t>
        </is>
      </c>
      <c r="B273" s="26" t="inlineStr">
        <is>
          <t>ring</t>
        </is>
      </c>
      <c r="C273" s="26" t="inlineStr">
        <is>
          <t>Ring - Photo Print 133</t>
        </is>
      </c>
      <c r="D273" s="26" t="inlineStr">
        <is>
          <t>Photo Print ID: Photo Print 133</t>
        </is>
      </c>
      <c r="G273" s="35" t="n"/>
      <c r="H273" s="35" t="n"/>
      <c r="I273" s="35" t="n"/>
      <c r="J273" s="36">
        <f>IF(AND(G273&lt;&gt;"",I273&lt;&gt;""),G273-I273,"")</f>
        <v/>
      </c>
      <c r="K273" s="37">
        <f>IF(AND(G273&lt;&gt;"",G273&lt;&gt;0),J273/G273,"")</f>
        <v/>
      </c>
      <c r="L273" s="26" t="inlineStr">
        <is>
          <t>Photo Print: Photo Print 133</t>
        </is>
      </c>
      <c r="M273" s="38" t="inlineStr">
        <is>
          <t>https://cdn.shopify.com/s/files/1/0936/8656/3183/files/PXL_20251107_204618356.jpg?v=1762841837</t>
        </is>
      </c>
    </row>
    <row r="274" ht="15" customHeight="1" s="27">
      <c r="A274" s="26" t="inlineStr">
        <is>
          <t>RING_PP134</t>
        </is>
      </c>
      <c r="B274" s="26" t="inlineStr">
        <is>
          <t>ring</t>
        </is>
      </c>
      <c r="C274" s="26" t="inlineStr">
        <is>
          <t>Ring - Photo Print 134</t>
        </is>
      </c>
      <c r="D274" s="26" t="inlineStr">
        <is>
          <t>Photo Print ID: Photo Print 134</t>
        </is>
      </c>
      <c r="G274" s="35" t="n"/>
      <c r="H274" s="35" t="n"/>
      <c r="I274" s="35" t="n"/>
      <c r="J274" s="36">
        <f>IF(AND(G274&lt;&gt;"",I274&lt;&gt;""),G274-I274,"")</f>
        <v/>
      </c>
      <c r="K274" s="37">
        <f>IF(AND(G274&lt;&gt;"",G274&lt;&gt;0),J274/G274,"")</f>
        <v/>
      </c>
      <c r="L274" s="26" t="inlineStr">
        <is>
          <t>Photo Print: Photo Print 134</t>
        </is>
      </c>
      <c r="M274" s="38" t="inlineStr">
        <is>
          <t>https://cdn.shopify.com/s/files/1/0936/8656/3183/files/PXL_20251107_205030364.jpg?v=1762841836</t>
        </is>
      </c>
    </row>
    <row r="275" ht="15" customHeight="1" s="27">
      <c r="A275" s="26" t="inlineStr">
        <is>
          <t>RING_PP144</t>
        </is>
      </c>
      <c r="B275" s="26" t="inlineStr">
        <is>
          <t>ring</t>
        </is>
      </c>
      <c r="C275" s="26" t="inlineStr">
        <is>
          <t>Ring - Photo Print 144</t>
        </is>
      </c>
      <c r="D275" s="26" t="inlineStr">
        <is>
          <t>Photo Print ID: Photo Print 144</t>
        </is>
      </c>
      <c r="G275" s="35" t="n"/>
      <c r="H275" s="35" t="n"/>
      <c r="I275" s="35" t="n"/>
      <c r="J275" s="36">
        <f>IF(AND(G275&lt;&gt;"",I275&lt;&gt;""),G275-I275,"")</f>
        <v/>
      </c>
      <c r="K275" s="37">
        <f>IF(AND(G275&lt;&gt;"",G275&lt;&gt;0),J275/G275,"")</f>
        <v/>
      </c>
      <c r="L275" s="26" t="inlineStr">
        <is>
          <t>Photo Print: Photo Print 144</t>
        </is>
      </c>
      <c r="M275" s="38" t="inlineStr">
        <is>
          <t>https://cdn.shopify.com/s/files/1/0936/8656/3183/files/PXL_20251107_203213974.jpg?v=1762841836</t>
        </is>
      </c>
    </row>
    <row r="276" ht="15" customHeight="1" s="27">
      <c r="A276" s="26" t="inlineStr">
        <is>
          <t>RING_PP156</t>
        </is>
      </c>
      <c r="B276" s="26" t="inlineStr">
        <is>
          <t>ring</t>
        </is>
      </c>
      <c r="C276" s="26" t="inlineStr">
        <is>
          <t>Ring - Photo Print 156</t>
        </is>
      </c>
      <c r="D276" s="26" t="inlineStr">
        <is>
          <t>Photo Print ID: Photo Print 156</t>
        </is>
      </c>
      <c r="G276" s="35" t="n"/>
      <c r="H276" s="35" t="n"/>
      <c r="I276" s="35" t="n"/>
      <c r="J276" s="36">
        <f>IF(AND(G276&lt;&gt;"",I276&lt;&gt;""),G276-I276,"")</f>
        <v/>
      </c>
      <c r="K276" s="37">
        <f>IF(AND(G276&lt;&gt;"",G276&lt;&gt;0),J276/G276,"")</f>
        <v/>
      </c>
      <c r="L276" s="26" t="inlineStr">
        <is>
          <t>Photo Print: Photo Print 156</t>
        </is>
      </c>
      <c r="M276" s="38" t="inlineStr">
        <is>
          <t>https://cdn.shopify.com/s/files/1/0936/8656/3183/files/PXL_20251107_205800034.jpg?v=1762842111</t>
        </is>
      </c>
    </row>
    <row r="277" ht="15" customHeight="1" s="27">
      <c r="A277" s="26" t="inlineStr">
        <is>
          <t>RING_PP157</t>
        </is>
      </c>
      <c r="B277" s="26" t="inlineStr">
        <is>
          <t>ring</t>
        </is>
      </c>
      <c r="C277" s="26" t="inlineStr">
        <is>
          <t>Ring - Photo Print 157</t>
        </is>
      </c>
      <c r="D277" s="26" t="inlineStr">
        <is>
          <t>Photo Print ID: Photo Print 157</t>
        </is>
      </c>
      <c r="G277" s="35" t="n"/>
      <c r="H277" s="35" t="n"/>
      <c r="I277" s="35" t="n"/>
      <c r="J277" s="36">
        <f>IF(AND(G277&lt;&gt;"",I277&lt;&gt;""),G277-I277,"")</f>
        <v/>
      </c>
      <c r="K277" s="37">
        <f>IF(AND(G277&lt;&gt;"",G277&lt;&gt;0),J277/G277,"")</f>
        <v/>
      </c>
      <c r="L277" s="26" t="inlineStr">
        <is>
          <t>Photo Print: Photo Print 157</t>
        </is>
      </c>
      <c r="M277" s="38" t="inlineStr">
        <is>
          <t>https://cdn.shopify.com/s/files/1/0936/8656/3183/files/PXL_20251107_205946254.jpg?v=1762842112</t>
        </is>
      </c>
    </row>
    <row r="278" ht="15" customHeight="1" s="27">
      <c r="A278" s="26" t="inlineStr">
        <is>
          <t>RING_PP158</t>
        </is>
      </c>
      <c r="B278" s="26" t="inlineStr">
        <is>
          <t>ring</t>
        </is>
      </c>
      <c r="C278" s="26" t="inlineStr">
        <is>
          <t>Ring - Photo Print 158</t>
        </is>
      </c>
      <c r="D278" s="26" t="inlineStr">
        <is>
          <t>Photo Print ID: Photo Print 158</t>
        </is>
      </c>
      <c r="G278" s="35" t="n"/>
      <c r="H278" s="35" t="n"/>
      <c r="I278" s="35" t="n"/>
      <c r="J278" s="36">
        <f>IF(AND(G278&lt;&gt;"",I278&lt;&gt;""),G278-I278,"")</f>
        <v/>
      </c>
      <c r="K278" s="37">
        <f>IF(AND(G278&lt;&gt;"",G278&lt;&gt;0),J278/G278,"")</f>
        <v/>
      </c>
      <c r="L278" s="26" t="inlineStr">
        <is>
          <t>Photo Print: Photo Print 158</t>
        </is>
      </c>
      <c r="M278" s="38" t="inlineStr">
        <is>
          <t>https://cdn.shopify.com/s/files/1/0936/8656/3183/files/PXL_20251107_210035946.jpg?v=1762842112</t>
        </is>
      </c>
    </row>
    <row r="279" ht="15" customHeight="1" s="27">
      <c r="A279" s="26" t="inlineStr">
        <is>
          <t>PIID000028</t>
        </is>
      </c>
      <c r="B279" s="26" t="inlineStr">
        <is>
          <t>set</t>
        </is>
      </c>
      <c r="C279" s="26" t="inlineStr">
        <is>
          <t>vintage sterling silver, natural coral necklace and earring set</t>
        </is>
      </c>
      <c r="D279" s="26" t="inlineStr">
        <is>
          <t>natural coral neclace and dangle clip on earrings</t>
        </is>
      </c>
      <c r="F279" s="26" t="inlineStr">
        <is>
          <t>16" necklace, 1" dangle earring</t>
        </is>
      </c>
      <c r="G279" s="35" t="n"/>
      <c r="H279" s="35" t="n"/>
      <c r="I279" s="35" t="n"/>
      <c r="J279" s="36">
        <f>IF(AND(G279&lt;&gt;"",I279&lt;&gt;""),G279-I279,"")</f>
        <v/>
      </c>
      <c r="K279" s="37">
        <f>IF(AND(G279&lt;&gt;"",G279&lt;&gt;0),J279/G279,"")</f>
        <v/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8" r:id="rId51"/>
    <hyperlink xmlns:r="http://schemas.openxmlformats.org/officeDocument/2006/relationships" ref="M59" r:id="rId52"/>
    <hyperlink xmlns:r="http://schemas.openxmlformats.org/officeDocument/2006/relationships" ref="M60" r:id="rId53"/>
    <hyperlink xmlns:r="http://schemas.openxmlformats.org/officeDocument/2006/relationships" ref="M61" r:id="rId54"/>
    <hyperlink xmlns:r="http://schemas.openxmlformats.org/officeDocument/2006/relationships" ref="M62" r:id="rId55"/>
    <hyperlink xmlns:r="http://schemas.openxmlformats.org/officeDocument/2006/relationships" ref="M63" r:id="rId56"/>
    <hyperlink xmlns:r="http://schemas.openxmlformats.org/officeDocument/2006/relationships" ref="M64" r:id="rId57"/>
    <hyperlink xmlns:r="http://schemas.openxmlformats.org/officeDocument/2006/relationships" ref="M65" r:id="rId58"/>
    <hyperlink xmlns:r="http://schemas.openxmlformats.org/officeDocument/2006/relationships" ref="M66" r:id="rId59"/>
    <hyperlink xmlns:r="http://schemas.openxmlformats.org/officeDocument/2006/relationships" ref="M67" r:id="rId60"/>
    <hyperlink xmlns:r="http://schemas.openxmlformats.org/officeDocument/2006/relationships" ref="M68" r:id="rId61"/>
    <hyperlink xmlns:r="http://schemas.openxmlformats.org/officeDocument/2006/relationships" ref="M69" r:id="rId62"/>
    <hyperlink xmlns:r="http://schemas.openxmlformats.org/officeDocument/2006/relationships" ref="M70" r:id="rId63"/>
    <hyperlink xmlns:r="http://schemas.openxmlformats.org/officeDocument/2006/relationships" ref="M71" r:id="rId64"/>
    <hyperlink xmlns:r="http://schemas.openxmlformats.org/officeDocument/2006/relationships" ref="M72" r:id="rId65"/>
    <hyperlink xmlns:r="http://schemas.openxmlformats.org/officeDocument/2006/relationships" ref="M73" r:id="rId66"/>
    <hyperlink xmlns:r="http://schemas.openxmlformats.org/officeDocument/2006/relationships" ref="M74" r:id="rId67"/>
    <hyperlink xmlns:r="http://schemas.openxmlformats.org/officeDocument/2006/relationships" ref="M75" r:id="rId68"/>
    <hyperlink xmlns:r="http://schemas.openxmlformats.org/officeDocument/2006/relationships" ref="M76" r:id="rId69"/>
    <hyperlink xmlns:r="http://schemas.openxmlformats.org/officeDocument/2006/relationships" ref="M77" r:id="rId70"/>
    <hyperlink xmlns:r="http://schemas.openxmlformats.org/officeDocument/2006/relationships" ref="M78" r:id="rId71"/>
    <hyperlink xmlns:r="http://schemas.openxmlformats.org/officeDocument/2006/relationships" ref="M79" r:id="rId72"/>
    <hyperlink xmlns:r="http://schemas.openxmlformats.org/officeDocument/2006/relationships" ref="M80" r:id="rId73"/>
    <hyperlink xmlns:r="http://schemas.openxmlformats.org/officeDocument/2006/relationships" ref="M81" r:id="rId74"/>
    <hyperlink xmlns:r="http://schemas.openxmlformats.org/officeDocument/2006/relationships" ref="M82" r:id="rId75"/>
    <hyperlink xmlns:r="http://schemas.openxmlformats.org/officeDocument/2006/relationships" ref="M83" r:id="rId76"/>
    <hyperlink xmlns:r="http://schemas.openxmlformats.org/officeDocument/2006/relationships" ref="M84" r:id="rId77"/>
    <hyperlink xmlns:r="http://schemas.openxmlformats.org/officeDocument/2006/relationships" ref="M85" r:id="rId78"/>
    <hyperlink xmlns:r="http://schemas.openxmlformats.org/officeDocument/2006/relationships" ref="M86" r:id="rId79"/>
    <hyperlink xmlns:r="http://schemas.openxmlformats.org/officeDocument/2006/relationships" ref="M87" r:id="rId80"/>
    <hyperlink xmlns:r="http://schemas.openxmlformats.org/officeDocument/2006/relationships" ref="M95" r:id="rId81"/>
    <hyperlink xmlns:r="http://schemas.openxmlformats.org/officeDocument/2006/relationships" ref="M96" r:id="rId82"/>
    <hyperlink xmlns:r="http://schemas.openxmlformats.org/officeDocument/2006/relationships" ref="M97" r:id="rId83"/>
    <hyperlink xmlns:r="http://schemas.openxmlformats.org/officeDocument/2006/relationships" ref="M98" r:id="rId84"/>
    <hyperlink xmlns:r="http://schemas.openxmlformats.org/officeDocument/2006/relationships" ref="M99" r:id="rId85"/>
    <hyperlink xmlns:r="http://schemas.openxmlformats.org/officeDocument/2006/relationships" ref="M100" r:id="rId86"/>
    <hyperlink xmlns:r="http://schemas.openxmlformats.org/officeDocument/2006/relationships" ref="M101" r:id="rId87"/>
    <hyperlink xmlns:r="http://schemas.openxmlformats.org/officeDocument/2006/relationships" ref="M102" r:id="rId88"/>
    <hyperlink xmlns:r="http://schemas.openxmlformats.org/officeDocument/2006/relationships" ref="M103" r:id="rId89"/>
    <hyperlink xmlns:r="http://schemas.openxmlformats.org/officeDocument/2006/relationships" ref="M104" r:id="rId90"/>
    <hyperlink xmlns:r="http://schemas.openxmlformats.org/officeDocument/2006/relationships" ref="M105" r:id="rId91"/>
    <hyperlink xmlns:r="http://schemas.openxmlformats.org/officeDocument/2006/relationships" ref="M106" r:id="rId92"/>
    <hyperlink xmlns:r="http://schemas.openxmlformats.org/officeDocument/2006/relationships" ref="M107" r:id="rId93"/>
    <hyperlink xmlns:r="http://schemas.openxmlformats.org/officeDocument/2006/relationships" ref="M108" r:id="rId94"/>
    <hyperlink xmlns:r="http://schemas.openxmlformats.org/officeDocument/2006/relationships" ref="M109" r:id="rId95"/>
    <hyperlink xmlns:r="http://schemas.openxmlformats.org/officeDocument/2006/relationships" ref="M110" r:id="rId96"/>
    <hyperlink xmlns:r="http://schemas.openxmlformats.org/officeDocument/2006/relationships" ref="M111" r:id="rId97"/>
    <hyperlink xmlns:r="http://schemas.openxmlformats.org/officeDocument/2006/relationships" ref="M112" r:id="rId98"/>
    <hyperlink xmlns:r="http://schemas.openxmlformats.org/officeDocument/2006/relationships" ref="M113" r:id="rId99"/>
    <hyperlink xmlns:r="http://schemas.openxmlformats.org/officeDocument/2006/relationships" ref="M114" r:id="rId100"/>
    <hyperlink xmlns:r="http://schemas.openxmlformats.org/officeDocument/2006/relationships" ref="M115" r:id="rId101"/>
    <hyperlink xmlns:r="http://schemas.openxmlformats.org/officeDocument/2006/relationships" ref="M116" r:id="rId102"/>
    <hyperlink xmlns:r="http://schemas.openxmlformats.org/officeDocument/2006/relationships" ref="M117" r:id="rId103"/>
    <hyperlink xmlns:r="http://schemas.openxmlformats.org/officeDocument/2006/relationships" ref="M118" r:id="rId104"/>
    <hyperlink xmlns:r="http://schemas.openxmlformats.org/officeDocument/2006/relationships" ref="M119" r:id="rId105"/>
    <hyperlink xmlns:r="http://schemas.openxmlformats.org/officeDocument/2006/relationships" ref="M120" r:id="rId106"/>
    <hyperlink xmlns:r="http://schemas.openxmlformats.org/officeDocument/2006/relationships" ref="M121" r:id="rId107"/>
    <hyperlink xmlns:r="http://schemas.openxmlformats.org/officeDocument/2006/relationships" ref="M122" r:id="rId108"/>
    <hyperlink xmlns:r="http://schemas.openxmlformats.org/officeDocument/2006/relationships" ref="M123" r:id="rId109"/>
    <hyperlink xmlns:r="http://schemas.openxmlformats.org/officeDocument/2006/relationships" ref="M124" r:id="rId110"/>
    <hyperlink xmlns:r="http://schemas.openxmlformats.org/officeDocument/2006/relationships" ref="M125" r:id="rId111"/>
    <hyperlink xmlns:r="http://schemas.openxmlformats.org/officeDocument/2006/relationships" ref="M126" r:id="rId112"/>
    <hyperlink xmlns:r="http://schemas.openxmlformats.org/officeDocument/2006/relationships" ref="M127" r:id="rId113"/>
    <hyperlink xmlns:r="http://schemas.openxmlformats.org/officeDocument/2006/relationships" ref="M128" r:id="rId114"/>
    <hyperlink xmlns:r="http://schemas.openxmlformats.org/officeDocument/2006/relationships" ref="M129" r:id="rId115"/>
    <hyperlink xmlns:r="http://schemas.openxmlformats.org/officeDocument/2006/relationships" ref="M130" r:id="rId116"/>
    <hyperlink xmlns:r="http://schemas.openxmlformats.org/officeDocument/2006/relationships" ref="M131" r:id="rId117"/>
    <hyperlink xmlns:r="http://schemas.openxmlformats.org/officeDocument/2006/relationships" ref="M132" r:id="rId118"/>
    <hyperlink xmlns:r="http://schemas.openxmlformats.org/officeDocument/2006/relationships" ref="M133" r:id="rId119"/>
    <hyperlink xmlns:r="http://schemas.openxmlformats.org/officeDocument/2006/relationships" ref="M134" r:id="rId120"/>
    <hyperlink xmlns:r="http://schemas.openxmlformats.org/officeDocument/2006/relationships" ref="M135" r:id="rId121"/>
    <hyperlink xmlns:r="http://schemas.openxmlformats.org/officeDocument/2006/relationships" ref="M136" r:id="rId122"/>
    <hyperlink xmlns:r="http://schemas.openxmlformats.org/officeDocument/2006/relationships" ref="M137" r:id="rId123"/>
    <hyperlink xmlns:r="http://schemas.openxmlformats.org/officeDocument/2006/relationships" ref="M138" r:id="rId124"/>
    <hyperlink xmlns:r="http://schemas.openxmlformats.org/officeDocument/2006/relationships" ref="M139" r:id="rId125"/>
    <hyperlink xmlns:r="http://schemas.openxmlformats.org/officeDocument/2006/relationships" ref="M140" r:id="rId126"/>
    <hyperlink xmlns:r="http://schemas.openxmlformats.org/officeDocument/2006/relationships" ref="M141" r:id="rId127"/>
    <hyperlink xmlns:r="http://schemas.openxmlformats.org/officeDocument/2006/relationships" ref="M142" r:id="rId128"/>
    <hyperlink xmlns:r="http://schemas.openxmlformats.org/officeDocument/2006/relationships" ref="M143" r:id="rId129"/>
    <hyperlink xmlns:r="http://schemas.openxmlformats.org/officeDocument/2006/relationships" ref="M144" r:id="rId130"/>
    <hyperlink xmlns:r="http://schemas.openxmlformats.org/officeDocument/2006/relationships" ref="M145" r:id="rId131"/>
    <hyperlink xmlns:r="http://schemas.openxmlformats.org/officeDocument/2006/relationships" ref="M146" r:id="rId132"/>
    <hyperlink xmlns:r="http://schemas.openxmlformats.org/officeDocument/2006/relationships" ref="M147" r:id="rId133"/>
    <hyperlink xmlns:r="http://schemas.openxmlformats.org/officeDocument/2006/relationships" ref="M148" r:id="rId134"/>
    <hyperlink xmlns:r="http://schemas.openxmlformats.org/officeDocument/2006/relationships" ref="M149" r:id="rId135"/>
    <hyperlink xmlns:r="http://schemas.openxmlformats.org/officeDocument/2006/relationships" ref="M150" r:id="rId136"/>
    <hyperlink xmlns:r="http://schemas.openxmlformats.org/officeDocument/2006/relationships" ref="M151" r:id="rId137"/>
    <hyperlink xmlns:r="http://schemas.openxmlformats.org/officeDocument/2006/relationships" ref="M152" r:id="rId138"/>
    <hyperlink xmlns:r="http://schemas.openxmlformats.org/officeDocument/2006/relationships" ref="M153" r:id="rId139"/>
    <hyperlink xmlns:r="http://schemas.openxmlformats.org/officeDocument/2006/relationships" ref="M154" r:id="rId140"/>
    <hyperlink xmlns:r="http://schemas.openxmlformats.org/officeDocument/2006/relationships" ref="M155" r:id="rId141"/>
    <hyperlink xmlns:r="http://schemas.openxmlformats.org/officeDocument/2006/relationships" ref="M156" r:id="rId142"/>
    <hyperlink xmlns:r="http://schemas.openxmlformats.org/officeDocument/2006/relationships" ref="M157" r:id="rId143"/>
    <hyperlink xmlns:r="http://schemas.openxmlformats.org/officeDocument/2006/relationships" ref="M158" r:id="rId144"/>
    <hyperlink xmlns:r="http://schemas.openxmlformats.org/officeDocument/2006/relationships" ref="M159" r:id="rId145"/>
    <hyperlink xmlns:r="http://schemas.openxmlformats.org/officeDocument/2006/relationships" ref="M160" r:id="rId146"/>
    <hyperlink xmlns:r="http://schemas.openxmlformats.org/officeDocument/2006/relationships" ref="M161" r:id="rId147"/>
    <hyperlink xmlns:r="http://schemas.openxmlformats.org/officeDocument/2006/relationships" ref="M162" r:id="rId148"/>
    <hyperlink xmlns:r="http://schemas.openxmlformats.org/officeDocument/2006/relationships" ref="M163" r:id="rId149"/>
    <hyperlink xmlns:r="http://schemas.openxmlformats.org/officeDocument/2006/relationships" ref="M259" r:id="rId150"/>
    <hyperlink xmlns:r="http://schemas.openxmlformats.org/officeDocument/2006/relationships" ref="M260" r:id="rId151"/>
    <hyperlink xmlns:r="http://schemas.openxmlformats.org/officeDocument/2006/relationships" ref="M261" r:id="rId152"/>
    <hyperlink xmlns:r="http://schemas.openxmlformats.org/officeDocument/2006/relationships" ref="M262" r:id="rId153"/>
    <hyperlink xmlns:r="http://schemas.openxmlformats.org/officeDocument/2006/relationships" ref="M263" r:id="rId154"/>
    <hyperlink xmlns:r="http://schemas.openxmlformats.org/officeDocument/2006/relationships" ref="M264" r:id="rId155"/>
    <hyperlink xmlns:r="http://schemas.openxmlformats.org/officeDocument/2006/relationships" ref="M265" r:id="rId156"/>
    <hyperlink xmlns:r="http://schemas.openxmlformats.org/officeDocument/2006/relationships" ref="M266" r:id="rId157"/>
    <hyperlink xmlns:r="http://schemas.openxmlformats.org/officeDocument/2006/relationships" ref="M267" r:id="rId158"/>
    <hyperlink xmlns:r="http://schemas.openxmlformats.org/officeDocument/2006/relationships" ref="M268" r:id="rId159"/>
    <hyperlink xmlns:r="http://schemas.openxmlformats.org/officeDocument/2006/relationships" ref="M269" r:id="rId160"/>
    <hyperlink xmlns:r="http://schemas.openxmlformats.org/officeDocument/2006/relationships" ref="M270" r:id="rId161"/>
    <hyperlink xmlns:r="http://schemas.openxmlformats.org/officeDocument/2006/relationships" ref="M271" r:id="rId162"/>
    <hyperlink xmlns:r="http://schemas.openxmlformats.org/officeDocument/2006/relationships" ref="M272" r:id="rId163"/>
    <hyperlink xmlns:r="http://schemas.openxmlformats.org/officeDocument/2006/relationships" ref="M273" r:id="rId164"/>
    <hyperlink xmlns:r="http://schemas.openxmlformats.org/officeDocument/2006/relationships" ref="M274" r:id="rId165"/>
    <hyperlink xmlns:r="http://schemas.openxmlformats.org/officeDocument/2006/relationships" ref="M275" r:id="rId166"/>
    <hyperlink xmlns:r="http://schemas.openxmlformats.org/officeDocument/2006/relationships" ref="M276" r:id="rId167"/>
    <hyperlink xmlns:r="http://schemas.openxmlformats.org/officeDocument/2006/relationships" ref="M277" r:id="rId168"/>
    <hyperlink xmlns:r="http://schemas.openxmlformats.org/officeDocument/2006/relationships" ref="M278" r:id="rId169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26" min="1" max="2"/>
    <col width="30" customWidth="1" style="26" min="3" max="3"/>
    <col width="10" customWidth="1" style="26" min="4" max="4"/>
    <col width="18" customWidth="1" style="26" min="5" max="5"/>
    <col width="15" customWidth="1" style="26" min="6" max="8"/>
    <col width="20" customWidth="1" style="26" min="9" max="9"/>
    <col width="30" customWidth="1" style="26" min="10" max="10"/>
  </cols>
  <sheetData>
    <row r="1" ht="15" customHeight="1" s="27">
      <c r="A1" s="40" t="inlineStr">
        <is>
          <t>Material ID</t>
        </is>
      </c>
      <c r="B1" s="40" t="inlineStr">
        <is>
          <t>Material Type</t>
        </is>
      </c>
      <c r="C1" s="40" t="inlineStr">
        <is>
          <t>Description</t>
        </is>
      </c>
      <c r="D1" s="40" t="inlineStr">
        <is>
          <t>Unit</t>
        </is>
      </c>
      <c r="E1" s="40" t="inlineStr">
        <is>
          <t>Quantity in Stock</t>
        </is>
      </c>
      <c r="F1" s="40" t="inlineStr">
        <is>
          <t>Cost per Unit</t>
        </is>
      </c>
      <c r="G1" s="40" t="inlineStr">
        <is>
          <t>Total Value</t>
        </is>
      </c>
      <c r="H1" s="40" t="inlineStr">
        <is>
          <t>Reorder Point</t>
        </is>
      </c>
      <c r="I1" s="40" t="inlineStr">
        <is>
          <t>Supplier</t>
        </is>
      </c>
      <c r="J1" s="40" t="inlineStr">
        <is>
          <t>Notes</t>
        </is>
      </c>
    </row>
    <row r="2" ht="15" customHeight="1" s="27">
      <c r="A2" s="26" t="inlineStr">
        <is>
          <t>CHAIN_001</t>
        </is>
      </c>
      <c r="B2" s="26" t="inlineStr">
        <is>
          <t>Chain</t>
        </is>
      </c>
      <c r="C2" s="26" t="inlineStr">
        <is>
          <t>18" Gold Plated Chain</t>
        </is>
      </c>
      <c r="D2" s="26" t="inlineStr">
        <is>
          <t>inches</t>
        </is>
      </c>
      <c r="E2" s="41" t="n">
        <v>240</v>
      </c>
      <c r="F2" s="35" t="n">
        <v>0.5</v>
      </c>
      <c r="G2" s="36">
        <f>IF(AND(E2&lt;&gt;"",F2&lt;&gt;""),E2*F2,"")</f>
        <v/>
      </c>
    </row>
    <row r="3" ht="15" customHeight="1" s="27">
      <c r="A3" s="26" t="inlineStr">
        <is>
          <t>CHAIN_002</t>
        </is>
      </c>
      <c r="B3" s="26" t="inlineStr">
        <is>
          <t>Chain</t>
        </is>
      </c>
      <c r="C3" s="26" t="inlineStr">
        <is>
          <t>20" Sterling Silver Chain</t>
        </is>
      </c>
      <c r="D3" s="26" t="inlineStr">
        <is>
          <t>inches</t>
        </is>
      </c>
      <c r="E3" s="41" t="n">
        <v>180</v>
      </c>
      <c r="F3" s="35" t="n">
        <v>0.75</v>
      </c>
      <c r="G3" s="36">
        <f>IF(AND(E3&lt;&gt;"",F3&lt;&gt;""),E3*F3,"")</f>
        <v/>
      </c>
    </row>
    <row r="4" ht="15" customHeight="1" s="27">
      <c r="A4" s="26" t="inlineStr">
        <is>
          <t>GEM_001</t>
        </is>
      </c>
      <c r="B4" s="26" t="inlineStr">
        <is>
          <t>Gemstone</t>
        </is>
      </c>
      <c r="C4" s="26" t="inlineStr">
        <is>
          <t>4mm Moissanite</t>
        </is>
      </c>
      <c r="D4" s="26" t="inlineStr">
        <is>
          <t>pieces</t>
        </is>
      </c>
      <c r="E4" s="41" t="n">
        <v>50</v>
      </c>
      <c r="F4" s="35" t="n">
        <v>2</v>
      </c>
      <c r="G4" s="36">
        <f>IF(AND(E4&lt;&gt;"",F4&lt;&gt;""),E4*F4,"")</f>
        <v/>
      </c>
      <c r="H4" s="26" t="n">
        <v>20</v>
      </c>
    </row>
    <row r="5" ht="15" customHeight="1" s="27">
      <c r="A5" s="26" t="inlineStr">
        <is>
          <t>GEM_002</t>
        </is>
      </c>
      <c r="B5" s="26" t="inlineStr">
        <is>
          <t>Gemstone</t>
        </is>
      </c>
      <c r="C5" s="26" t="inlineStr">
        <is>
          <t>Cubic Zirconia 6mm</t>
        </is>
      </c>
      <c r="D5" s="26" t="inlineStr">
        <is>
          <t>pieces</t>
        </is>
      </c>
      <c r="E5" s="41" t="n">
        <v>75</v>
      </c>
      <c r="F5" s="35" t="n">
        <v>1.5</v>
      </c>
      <c r="G5" s="36">
        <f>IF(AND(E5&lt;&gt;"",F5&lt;&gt;""),E5*F5,"")</f>
        <v/>
      </c>
      <c r="H5" s="26" t="n">
        <v>25</v>
      </c>
    </row>
    <row r="6" ht="15" customHeight="1" s="27">
      <c r="A6" s="26" t="inlineStr">
        <is>
          <t>WIRE_001</t>
        </is>
      </c>
      <c r="B6" s="26" t="inlineStr">
        <is>
          <t>Wire</t>
        </is>
      </c>
      <c r="C6" s="26" t="inlineStr">
        <is>
          <t>20g Silver Wire</t>
        </is>
      </c>
      <c r="D6" s="26" t="inlineStr">
        <is>
          <t>feet</t>
        </is>
      </c>
      <c r="E6" s="41" t="n">
        <v>100</v>
      </c>
      <c r="F6" s="35" t="n">
        <v>0.25</v>
      </c>
      <c r="G6" s="36">
        <f>IF(AND(E6&lt;&gt;"",F6&lt;&gt;""),E6*F6,"")</f>
        <v/>
      </c>
      <c r="H6" s="26" t="n">
        <v>50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30" customWidth="1" style="27" min="1" max="1"/>
    <col width="40" customWidth="1" style="27" min="2" max="2"/>
    <col width="70" customWidth="1" style="27" min="3" max="3"/>
    <col width="30" customWidth="1" style="27" min="4" max="4"/>
    <col width="15" customWidth="1" style="27" min="5" max="5"/>
  </cols>
  <sheetData>
    <row r="1" ht="30" customHeight="1" s="27">
      <c r="A1" s="42" t="inlineStr">
        <is>
          <t>IMAGE MANAGEMENT &amp; URL GENERATOR</t>
        </is>
      </c>
    </row>
    <row r="3">
      <c r="A3" s="43" t="inlineStr">
        <is>
          <t>HOW TO ADD IMAGES TO YOUR INVENTORY</t>
        </is>
      </c>
    </row>
    <row r="4">
      <c r="A4" s="44" t="inlineStr">
        <is>
          <t>OPTION 1: Upload to Shopify (or your website)</t>
        </is>
      </c>
    </row>
    <row r="5">
      <c r="A5" s="45" t="inlineStr">
        <is>
          <t>1.</t>
        </is>
      </c>
      <c r="B5" t="inlineStr">
        <is>
          <t>Upload your jewelry photo to Shopify</t>
        </is>
      </c>
    </row>
    <row r="6">
      <c r="A6" s="45" t="inlineStr">
        <is>
          <t>2.</t>
        </is>
      </c>
      <c r="B6" t="inlineStr">
        <is>
          <t>Copy the image URL (right-click image &gt; Copy image address)</t>
        </is>
      </c>
    </row>
    <row r="7">
      <c r="A7" s="45" t="inlineStr">
        <is>
          <t>3.</t>
        </is>
      </c>
      <c r="B7" t="inlineStr">
        <is>
          <t>Paste the URL in the "Images" column in Finished Inventory</t>
        </is>
      </c>
    </row>
    <row r="8">
      <c r="A8" t="inlineStr"/>
    </row>
    <row r="9">
      <c r="A9" s="44" t="inlineStr">
        <is>
          <t>OPTION 2: Upload to Google Drive (FREE)</t>
        </is>
      </c>
    </row>
    <row r="10">
      <c r="A10" s="45" t="inlineStr">
        <is>
          <t>1.</t>
        </is>
      </c>
      <c r="B10" t="inlineStr">
        <is>
          <t>Upload photo to Google Drive</t>
        </is>
      </c>
    </row>
    <row r="11">
      <c r="A11" s="45" t="inlineStr">
        <is>
          <t>2.</t>
        </is>
      </c>
      <c r="B11" t="inlineStr">
        <is>
          <t>Right-click &gt; Share &gt; Change to "Anyone with link"</t>
        </is>
      </c>
    </row>
    <row r="12">
      <c r="A12" s="45" t="inlineStr">
        <is>
          <t>3.</t>
        </is>
      </c>
      <c r="B12" t="inlineStr">
        <is>
          <t>Copy the shareable link</t>
        </is>
      </c>
    </row>
    <row r="13">
      <c r="A13" s="45" t="inlineStr">
        <is>
          <t>4.</t>
        </is>
      </c>
      <c r="B13" t="inlineStr">
        <is>
          <t>Convert the link using the tool below</t>
        </is>
      </c>
    </row>
    <row r="14">
      <c r="A14" t="inlineStr"/>
    </row>
    <row r="15">
      <c r="A15" s="44" t="inlineStr">
        <is>
          <t>OPTION 3: Use Imgur (FREE)</t>
        </is>
      </c>
    </row>
    <row r="16">
      <c r="A16" s="45" t="inlineStr">
        <is>
          <t>1.</t>
        </is>
      </c>
      <c r="B16" t="inlineStr">
        <is>
          <t>Go to imgur.com</t>
        </is>
      </c>
    </row>
    <row r="17">
      <c r="A17" s="45" t="inlineStr">
        <is>
          <t>2.</t>
        </is>
      </c>
      <c r="B17" t="inlineStr">
        <is>
          <t>Click "New post" and upload your image</t>
        </is>
      </c>
    </row>
    <row r="18">
      <c r="A18" s="45" t="inlineStr">
        <is>
          <t>3.</t>
        </is>
      </c>
      <c r="B18" t="inlineStr">
        <is>
          <t>Right-click the image &gt; Copy image address</t>
        </is>
      </c>
    </row>
    <row r="19">
      <c r="A19" s="45" t="inlineStr">
        <is>
          <t>4.</t>
        </is>
      </c>
      <c r="B19" t="inlineStr">
        <is>
          <t>Paste in the "Images" column</t>
        </is>
      </c>
    </row>
    <row r="22">
      <c r="A22" s="46" t="inlineStr">
        <is>
          <t>GOOGLE DRIVE URL CONVERTER</t>
        </is>
      </c>
    </row>
    <row r="23">
      <c r="A23" s="45" t="inlineStr">
        <is>
          <t>Paste Google Drive Share Link:</t>
        </is>
      </c>
      <c r="B23" s="47" t="n"/>
    </row>
    <row r="24">
      <c r="A24" s="45" t="inlineStr">
        <is>
          <t>Direct Image URL:</t>
        </is>
      </c>
      <c r="B24" s="48">
        <f>IF(B23="","",IF(ISNUMBER(SEARCH("drive.google.com",B23)),"https://drive.google.com/uc?export=view&amp;id=" &amp; MID(B23,FIND("/d/",B23)+3,FIND("/view",B23)-FIND("/d/",B23)-3),"Invalid Google Drive link"))</f>
        <v/>
      </c>
    </row>
    <row r="25">
      <c r="A25" s="39" t="inlineStr">
        <is>
          <t>Copy the Direct Image URL above and paste it into your Finished Inventory "Images" column</t>
        </is>
      </c>
    </row>
    <row r="28">
      <c r="A28" s="49" t="inlineStr">
        <is>
          <t>AUTO URL GENERATOR (For Bulk Upload)</t>
        </is>
      </c>
    </row>
    <row r="29">
      <c r="A29" s="45" t="inlineStr">
        <is>
          <t>Your Base URL Pattern:</t>
        </is>
      </c>
      <c r="B29" s="47" t="inlineStr">
        <is>
          <t>https://cdn.shopify.com/s/files/1/0936/8656/3183/files/</t>
        </is>
      </c>
    </row>
    <row r="30">
      <c r="A30" s="45" t="inlineStr">
        <is>
          <t>Instructions:</t>
        </is>
      </c>
      <c r="B30" t="inlineStr">
        <is>
          <t>1. Update the base URL above if needed  2. Use the table below to generate URLs</t>
        </is>
      </c>
    </row>
    <row r="32">
      <c r="A32" s="50" t="inlineStr">
        <is>
          <t>SKU</t>
        </is>
      </c>
      <c r="B32" s="50" t="inlineStr">
        <is>
          <t>Filename</t>
        </is>
      </c>
      <c r="C32" s="50" t="inlineStr">
        <is>
          <t>Generated URL</t>
        </is>
      </c>
      <c r="D32" s="50" t="inlineStr">
        <is>
          <t>Copy to Finished Inventory</t>
        </is>
      </c>
    </row>
    <row r="33">
      <c r="A33" s="47" t="n"/>
      <c r="B33" s="47" t="n"/>
      <c r="C33">
        <f>IF(B33="","",$B$29&amp;B33)</f>
        <v/>
      </c>
      <c r="D33" s="51" t="inlineStr">
        <is>
          <t>← Copy this URL to Finished Inventory</t>
        </is>
      </c>
    </row>
    <row r="34">
      <c r="A34" s="47" t="n"/>
      <c r="B34" s="47" t="n"/>
      <c r="C34">
        <f>IF(B34="","",$B$29&amp;B34)</f>
        <v/>
      </c>
      <c r="D34" s="51" t="inlineStr">
        <is>
          <t>← Copy this URL to Finished Inventory</t>
        </is>
      </c>
    </row>
    <row r="35">
      <c r="A35" s="47" t="n"/>
      <c r="B35" s="47" t="n"/>
      <c r="C35">
        <f>IF(B35="","",$B$29&amp;B35)</f>
        <v/>
      </c>
      <c r="D35" s="51" t="inlineStr">
        <is>
          <t>← Copy this URL to Finished Inventory</t>
        </is>
      </c>
    </row>
    <row r="36">
      <c r="A36" s="47" t="n"/>
      <c r="B36" s="47" t="n"/>
      <c r="C36">
        <f>IF(B36="","",$B$29&amp;B36)</f>
        <v/>
      </c>
      <c r="D36" s="51" t="inlineStr">
        <is>
          <t>← Copy this URL to Finished Inventory</t>
        </is>
      </c>
    </row>
    <row r="37">
      <c r="A37" s="47" t="n"/>
      <c r="B37" s="47" t="n"/>
      <c r="C37">
        <f>IF(B37="","",$B$29&amp;B37)</f>
        <v/>
      </c>
      <c r="D37" s="51" t="inlineStr">
        <is>
          <t>← Copy this URL to Finished Inventory</t>
        </is>
      </c>
    </row>
    <row r="38">
      <c r="A38" s="47" t="n"/>
      <c r="B38" s="47" t="n"/>
      <c r="C38">
        <f>IF(B38="","",$B$29&amp;B38)</f>
        <v/>
      </c>
      <c r="D38" s="51" t="inlineStr">
        <is>
          <t>← Copy this URL to Finished Inventory</t>
        </is>
      </c>
    </row>
    <row r="39">
      <c r="A39" s="47" t="n"/>
      <c r="B39" s="47" t="n"/>
      <c r="C39">
        <f>IF(B39="","",$B$29&amp;B39)</f>
        <v/>
      </c>
      <c r="D39" s="51" t="inlineStr">
        <is>
          <t>← Copy this URL to Finished Inventory</t>
        </is>
      </c>
    </row>
    <row r="40">
      <c r="A40" s="47" t="n"/>
      <c r="B40" s="47" t="n"/>
      <c r="C40">
        <f>IF(B40="","",$B$29&amp;B40)</f>
        <v/>
      </c>
      <c r="D40" s="51" t="inlineStr">
        <is>
          <t>← Copy this URL to Finished Inventory</t>
        </is>
      </c>
    </row>
    <row r="41">
      <c r="A41" s="47" t="n"/>
      <c r="B41" s="47" t="n"/>
      <c r="C41">
        <f>IF(B41="","",$B$29&amp;B41)</f>
        <v/>
      </c>
      <c r="D41" s="51" t="inlineStr">
        <is>
          <t>← Copy this URL to Finished Inventory</t>
        </is>
      </c>
    </row>
    <row r="42">
      <c r="A42" s="47" t="n"/>
      <c r="B42" s="47" t="n"/>
      <c r="C42">
        <f>IF(B42="","",$B$29&amp;B42)</f>
        <v/>
      </c>
      <c r="D42" s="51" t="inlineStr">
        <is>
          <t>← Copy this URL to Finished Inventory</t>
        </is>
      </c>
    </row>
    <row r="43">
      <c r="A43" s="47" t="n"/>
      <c r="B43" s="47" t="n"/>
      <c r="C43">
        <f>IF(B43="","",$B$29&amp;B43)</f>
        <v/>
      </c>
      <c r="D43" s="51" t="inlineStr">
        <is>
          <t>← Copy this URL to Finished Inventory</t>
        </is>
      </c>
    </row>
    <row r="44">
      <c r="A44" s="47" t="n"/>
      <c r="B44" s="47" t="n"/>
      <c r="C44">
        <f>IF(B44="","",$B$29&amp;B44)</f>
        <v/>
      </c>
      <c r="D44" s="51" t="inlineStr">
        <is>
          <t>← Copy this URL to Finished Inventory</t>
        </is>
      </c>
    </row>
    <row r="45">
      <c r="A45" s="47" t="n"/>
      <c r="B45" s="47" t="n"/>
      <c r="C45">
        <f>IF(B45="","",$B$29&amp;B45)</f>
        <v/>
      </c>
      <c r="D45" s="51" t="inlineStr">
        <is>
          <t>← Copy this URL to Finished Inventory</t>
        </is>
      </c>
    </row>
    <row r="46">
      <c r="A46" s="47" t="n"/>
      <c r="B46" s="47" t="n"/>
      <c r="C46">
        <f>IF(B46="","",$B$29&amp;B46)</f>
        <v/>
      </c>
      <c r="D46" s="51" t="inlineStr">
        <is>
          <t>← Copy this URL to Finished Inventory</t>
        </is>
      </c>
    </row>
    <row r="47">
      <c r="A47" s="47" t="n"/>
      <c r="B47" s="47" t="n"/>
      <c r="C47">
        <f>IF(B47="","",$B$29&amp;B47)</f>
        <v/>
      </c>
      <c r="D47" s="51" t="inlineStr">
        <is>
          <t>← Copy this URL to Finished Inventory</t>
        </is>
      </c>
    </row>
    <row r="48">
      <c r="A48" s="47" t="n"/>
      <c r="B48" s="47" t="n"/>
      <c r="C48">
        <f>IF(B48="","",$B$29&amp;B48)</f>
        <v/>
      </c>
      <c r="D48" s="51" t="inlineStr">
        <is>
          <t>← Copy this URL to Finished Inventory</t>
        </is>
      </c>
    </row>
    <row r="49">
      <c r="A49" s="47" t="n"/>
      <c r="B49" s="47" t="n"/>
      <c r="C49">
        <f>IF(B49="","",$B$29&amp;B49)</f>
        <v/>
      </c>
      <c r="D49" s="51" t="inlineStr">
        <is>
          <t>← Copy this URL to Finished Inventory</t>
        </is>
      </c>
    </row>
    <row r="50">
      <c r="A50" s="47" t="n"/>
      <c r="B50" s="47" t="n"/>
      <c r="C50">
        <f>IF(B50="","",$B$29&amp;B50)</f>
        <v/>
      </c>
      <c r="D50" s="51" t="inlineStr">
        <is>
          <t>← Copy this URL to Finished Inventory</t>
        </is>
      </c>
    </row>
    <row r="51">
      <c r="A51" s="47" t="n"/>
      <c r="B51" s="47" t="n"/>
      <c r="C51">
        <f>IF(B51="","",$B$29&amp;B51)</f>
        <v/>
      </c>
      <c r="D51" s="51" t="inlineStr">
        <is>
          <t>← Copy this URL to Finished Inventory</t>
        </is>
      </c>
    </row>
    <row r="52">
      <c r="A52" s="47" t="n"/>
      <c r="B52" s="47" t="n"/>
      <c r="C52">
        <f>IF(B52="","",$B$29&amp;B52)</f>
        <v/>
      </c>
      <c r="D52" s="51" t="inlineStr">
        <is>
          <t>← Copy this URL to Finished Inventory</t>
        </is>
      </c>
    </row>
  </sheetData>
  <mergeCells count="23">
    <mergeCell ref="A9:H9"/>
    <mergeCell ref="A15:H15"/>
    <mergeCell ref="B30:E30"/>
    <mergeCell ref="B6:H6"/>
    <mergeCell ref="B24:E24"/>
    <mergeCell ref="A1:H1"/>
    <mergeCell ref="B5:H5"/>
    <mergeCell ref="A25:H25"/>
    <mergeCell ref="B16:H16"/>
    <mergeCell ref="B7:H7"/>
    <mergeCell ref="A3:H3"/>
    <mergeCell ref="B18:H18"/>
    <mergeCell ref="B12:H12"/>
    <mergeCell ref="B11:H11"/>
    <mergeCell ref="A22:H22"/>
    <mergeCell ref="A4:H4"/>
    <mergeCell ref="B23:E23"/>
    <mergeCell ref="B17:H17"/>
    <mergeCell ref="B13:H13"/>
    <mergeCell ref="A28:H28"/>
    <mergeCell ref="B29:E29"/>
    <mergeCell ref="B10:H10"/>
    <mergeCell ref="B19:H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26" min="1" max="2"/>
    <col width="30" customWidth="1" style="26" min="3" max="3"/>
    <col width="15" customWidth="1" style="26" min="4" max="5"/>
    <col width="12" customWidth="1" style="26" min="6" max="6"/>
    <col width="10" customWidth="1" style="26" min="7" max="7"/>
    <col width="15" customWidth="1" style="26" min="8" max="10"/>
    <col width="30" customWidth="1" style="26" min="11" max="11"/>
  </cols>
  <sheetData>
    <row r="1" ht="15" customHeight="1" s="27">
      <c r="A1" s="52" t="inlineStr">
        <is>
          <t>Spool ID</t>
        </is>
      </c>
      <c r="B1" s="52" t="inlineStr">
        <is>
          <t>Material Type</t>
        </is>
      </c>
      <c r="C1" s="52" t="inlineStr">
        <is>
          <t>Description</t>
        </is>
      </c>
      <c r="D1" s="52" t="inlineStr">
        <is>
          <t>Original Length</t>
        </is>
      </c>
      <c r="E1" s="52" t="inlineStr">
        <is>
          <t>Current Length</t>
        </is>
      </c>
      <c r="F1" s="52" t="inlineStr">
        <is>
          <t>Used</t>
        </is>
      </c>
      <c r="G1" s="52" t="inlineStr">
        <is>
          <t>Unit</t>
        </is>
      </c>
      <c r="H1" s="52" t="inlineStr">
        <is>
          <t>Cost per Unit</t>
        </is>
      </c>
      <c r="I1" s="52" t="inlineStr">
        <is>
          <t>Remaining Value</t>
        </is>
      </c>
      <c r="J1" s="52" t="inlineStr">
        <is>
          <t>Date Added</t>
        </is>
      </c>
      <c r="K1" s="52" t="inlineStr">
        <is>
          <t>Notes</t>
        </is>
      </c>
    </row>
    <row r="2" ht="15" customHeight="1" s="27">
      <c r="A2" s="26" t="inlineStr">
        <is>
          <t>SPOOL_001</t>
        </is>
      </c>
      <c r="B2" s="26" t="inlineStr">
        <is>
          <t>Chain</t>
        </is>
      </c>
      <c r="C2" s="26" t="inlineStr">
        <is>
          <t>18" Gold Chain Spool</t>
        </is>
      </c>
      <c r="D2" s="41" t="n">
        <v>500</v>
      </c>
      <c r="E2" s="41" t="n">
        <v>240</v>
      </c>
      <c r="F2" s="53">
        <f>IF(AND(D2&lt;&gt;"",E2&lt;&gt;""),D2-E2,"")</f>
        <v/>
      </c>
      <c r="G2" s="26" t="inlineStr">
        <is>
          <t>inches</t>
        </is>
      </c>
      <c r="H2" s="35" t="n">
        <v>0.5</v>
      </c>
      <c r="I2" s="36">
        <f>IF(AND(E2&lt;&gt;"",H2&lt;&gt;""),E2*H2,"")</f>
        <v/>
      </c>
      <c r="J2" s="26" t="inlineStr">
        <is>
          <t>2025-01-01</t>
        </is>
      </c>
      <c r="K2" s="26" t="inlineStr">
        <is>
          <t>Main supplier spool</t>
        </is>
      </c>
    </row>
    <row r="3" ht="15" customHeight="1" s="27">
      <c r="A3" s="26" t="inlineStr">
        <is>
          <t>SPOOL_002</t>
        </is>
      </c>
      <c r="B3" s="26" t="inlineStr">
        <is>
          <t>Chain</t>
        </is>
      </c>
      <c r="C3" s="26" t="inlineStr">
        <is>
          <t>20" Silver Chain Spool</t>
        </is>
      </c>
      <c r="D3" s="41" t="n">
        <v>400</v>
      </c>
      <c r="E3" s="41" t="n">
        <v>180</v>
      </c>
      <c r="F3" s="53">
        <f>IF(AND(D3&lt;&gt;"",E3&lt;&gt;""),D3-E3,"")</f>
        <v/>
      </c>
      <c r="G3" s="26" t="inlineStr">
        <is>
          <t>inches</t>
        </is>
      </c>
      <c r="H3" s="35" t="n">
        <v>0.75</v>
      </c>
      <c r="I3" s="36">
        <f>IF(AND(E3&lt;&gt;"",H3&lt;&gt;""),E3*H3,"")</f>
        <v/>
      </c>
      <c r="J3" s="26" t="inlineStr">
        <is>
          <t>2025-01-01</t>
        </is>
      </c>
    </row>
    <row r="4" ht="15" customHeight="1" s="27">
      <c r="A4" s="26" t="inlineStr">
        <is>
          <t>SPOOL_003</t>
        </is>
      </c>
      <c r="B4" s="26" t="inlineStr">
        <is>
          <t>Wire</t>
        </is>
      </c>
      <c r="C4" s="26" t="inlineStr">
        <is>
          <t>20g Silver Wire Spool</t>
        </is>
      </c>
      <c r="D4" s="41" t="n">
        <v>200</v>
      </c>
      <c r="E4" s="41" t="n">
        <v>100</v>
      </c>
      <c r="F4" s="53">
        <f>IF(AND(D4&lt;&gt;"",E4&lt;&gt;""),D4-E4,"")</f>
        <v/>
      </c>
      <c r="G4" s="26" t="inlineStr">
        <is>
          <t>feet</t>
        </is>
      </c>
      <c r="H4" s="35" t="n">
        <v>0.25</v>
      </c>
      <c r="I4" s="36">
        <f>IF(AND(E4&lt;&gt;"",H4&lt;&gt;""),E4*H4,"")</f>
        <v/>
      </c>
      <c r="J4" s="26" t="inlineStr">
        <is>
          <t>2025-01-01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26" min="1" max="2"/>
    <col width="30" customWidth="1" style="26" min="3" max="3"/>
    <col width="15" customWidth="1" style="26" min="4" max="4"/>
    <col width="10" customWidth="1" style="26" min="5" max="5"/>
    <col width="20" customWidth="1" style="26" min="6" max="6"/>
    <col width="40" customWidth="1" style="26" min="7" max="7"/>
  </cols>
  <sheetData>
    <row r="1" ht="15" customHeight="1" s="27">
      <c r="A1" s="54" t="inlineStr">
        <is>
          <t>Date</t>
        </is>
      </c>
      <c r="B1" s="54" t="inlineStr">
        <is>
          <t>Spool ID</t>
        </is>
      </c>
      <c r="C1" s="54" t="inlineStr">
        <is>
          <t>Material Used</t>
        </is>
      </c>
      <c r="D1" s="54" t="inlineStr">
        <is>
          <t>Amount Used</t>
        </is>
      </c>
      <c r="E1" s="54" t="inlineStr">
        <is>
          <t>Unit</t>
        </is>
      </c>
      <c r="F1" s="54" t="inlineStr">
        <is>
          <t>Used For (SKU)</t>
        </is>
      </c>
      <c r="G1" s="54" t="inlineStr">
        <is>
          <t>Notes</t>
        </is>
      </c>
    </row>
    <row r="2" ht="15" customHeight="1" s="27">
      <c r="A2" s="55" t="inlineStr">
        <is>
          <t>INSTRUCTIONS: When you cut from a spool, log it here. Then manually update the "Current Length" in the Spool Tracker sheet.</t>
        </is>
      </c>
    </row>
  </sheetData>
  <mergeCells count="1"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6" min="1" max="1"/>
    <col width="15" customWidth="1" style="26" min="2" max="2"/>
    <col width="35" customWidth="1" style="26" min="3" max="3"/>
    <col width="12" customWidth="1" style="26" min="4" max="5"/>
    <col width="10" customWidth="1" style="26" min="6" max="6"/>
    <col width="12" customWidth="1" style="26" min="7" max="7"/>
  </cols>
  <sheetData>
    <row r="1" ht="19.7" customHeight="1" s="27">
      <c r="A1" s="56" t="inlineStr">
        <is>
          <t>CUSTOM BUNDLE BUILDER</t>
        </is>
      </c>
    </row>
    <row r="2" ht="15" customHeight="1" s="27">
      <c r="A2" s="57" t="inlineStr">
        <is>
          <t>Enter SKUs below to build a custom bundle. Prices will auto-calculate.</t>
        </is>
      </c>
    </row>
    <row r="3" ht="15" customHeight="1" s="27">
      <c r="A3" s="58" t="inlineStr">
        <is>
          <t>Bundle Name:</t>
        </is>
      </c>
      <c r="B3" s="31" t="n"/>
      <c r="C3" s="58" t="inlineStr">
        <is>
          <t>Target Price:</t>
        </is>
      </c>
      <c r="D3" s="35" t="n"/>
      <c r="E3" s="58" t="inlineStr">
        <is>
          <t>Bundle Discount %:</t>
        </is>
      </c>
      <c r="F3" s="59" t="n"/>
    </row>
    <row r="5" ht="15" customHeight="1" s="27">
      <c r="A5" s="60" t="inlineStr">
        <is>
          <t>#</t>
        </is>
      </c>
      <c r="B5" s="60" t="inlineStr">
        <is>
          <t>SKU</t>
        </is>
      </c>
      <c r="C5" s="60" t="inlineStr">
        <is>
          <t>Item Name</t>
        </is>
      </c>
      <c r="D5" s="60" t="inlineStr">
        <is>
          <t>Category</t>
        </is>
      </c>
      <c r="E5" s="60" t="inlineStr">
        <is>
          <t>Price</t>
        </is>
      </c>
      <c r="F5" s="60" t="inlineStr">
        <is>
          <t>Include?</t>
        </is>
      </c>
      <c r="G5" s="60" t="inlineStr">
        <is>
          <t>Line Total</t>
        </is>
      </c>
    </row>
    <row r="6" ht="15" customHeight="1" s="27">
      <c r="A6" s="26" t="n">
        <v>1</v>
      </c>
      <c r="B6" s="31" t="n"/>
      <c r="C6" s="26">
        <f>IFERROR(VLOOKUP(B6,'Finished Inventory'!A:C,3,FALSE()),"")</f>
        <v/>
      </c>
      <c r="D6" s="26">
        <f>IFERROR(VLOOKUP(B6,'Finished Inventory'!A:B,2,FALSE()),"")</f>
        <v/>
      </c>
      <c r="E6" s="36">
        <f>IFERROR(VLOOKUP(B6,'Finished Inventory'!A:G,7,FALSE()),"")</f>
        <v/>
      </c>
      <c r="F6" s="31" t="inlineStr">
        <is>
          <t>Yes</t>
        </is>
      </c>
      <c r="G6" s="36">
        <f>IF(F6="Yes",E6,0)</f>
        <v/>
      </c>
    </row>
    <row r="7" ht="15" customHeight="1" s="27">
      <c r="A7" s="26" t="n">
        <v>2</v>
      </c>
      <c r="B7" s="31" t="n"/>
      <c r="C7" s="26">
        <f>IFERROR(VLOOKUP(B7,'Finished Inventory'!A:C,3,FALSE()),"")</f>
        <v/>
      </c>
      <c r="D7" s="26">
        <f>IFERROR(VLOOKUP(B7,'Finished Inventory'!A:B,2,FALSE()),"")</f>
        <v/>
      </c>
      <c r="E7" s="36">
        <f>IFERROR(VLOOKUP(B7,'Finished Inventory'!A:G,7,FALSE()),"")</f>
        <v/>
      </c>
      <c r="F7" s="31" t="inlineStr">
        <is>
          <t>Yes</t>
        </is>
      </c>
      <c r="G7" s="36">
        <f>IF(F7="Yes",E7,0)</f>
        <v/>
      </c>
    </row>
    <row r="8" ht="15" customHeight="1" s="27">
      <c r="A8" s="26" t="n">
        <v>3</v>
      </c>
      <c r="B8" s="31" t="n"/>
      <c r="C8" s="26">
        <f>IFERROR(VLOOKUP(B8,'Finished Inventory'!A:C,3,FALSE()),"")</f>
        <v/>
      </c>
      <c r="D8" s="26">
        <f>IFERROR(VLOOKUP(B8,'Finished Inventory'!A:B,2,FALSE()),"")</f>
        <v/>
      </c>
      <c r="E8" s="36">
        <f>IFERROR(VLOOKUP(B8,'Finished Inventory'!A:G,7,FALSE()),"")</f>
        <v/>
      </c>
      <c r="F8" s="31" t="inlineStr">
        <is>
          <t>Yes</t>
        </is>
      </c>
      <c r="G8" s="36">
        <f>IF(F8="Yes",E8,0)</f>
        <v/>
      </c>
    </row>
    <row r="9" ht="15" customHeight="1" s="27">
      <c r="A9" s="26" t="n">
        <v>4</v>
      </c>
      <c r="B9" s="31" t="n"/>
      <c r="C9" s="26">
        <f>IFERROR(VLOOKUP(B9,'Finished Inventory'!A:C,3,FALSE()),"")</f>
        <v/>
      </c>
      <c r="D9" s="26">
        <f>IFERROR(VLOOKUP(B9,'Finished Inventory'!A:B,2,FALSE()),"")</f>
        <v/>
      </c>
      <c r="E9" s="36">
        <f>IFERROR(VLOOKUP(B9,'Finished Inventory'!A:G,7,FALSE()),"")</f>
        <v/>
      </c>
      <c r="F9" s="31" t="inlineStr">
        <is>
          <t>Yes</t>
        </is>
      </c>
      <c r="G9" s="36">
        <f>IF(F9="Yes",E9,0)</f>
        <v/>
      </c>
    </row>
    <row r="10" ht="15" customHeight="1" s="27">
      <c r="A10" s="26" t="n">
        <v>5</v>
      </c>
      <c r="B10" s="31" t="n"/>
      <c r="C10" s="26">
        <f>IFERROR(VLOOKUP(B10,'Finished Inventory'!A:C,3,FALSE()),"")</f>
        <v/>
      </c>
      <c r="D10" s="26">
        <f>IFERROR(VLOOKUP(B10,'Finished Inventory'!A:B,2,FALSE()),"")</f>
        <v/>
      </c>
      <c r="E10" s="36">
        <f>IFERROR(VLOOKUP(B10,'Finished Inventory'!A:G,7,FALSE()),"")</f>
        <v/>
      </c>
      <c r="F10" s="31" t="inlineStr">
        <is>
          <t>Yes</t>
        </is>
      </c>
      <c r="G10" s="36">
        <f>IF(F10="Yes",E10,0)</f>
        <v/>
      </c>
    </row>
    <row r="11" ht="15" customHeight="1" s="27">
      <c r="A11" s="26" t="n">
        <v>6</v>
      </c>
      <c r="B11" s="31" t="n"/>
      <c r="C11" s="26">
        <f>IFERROR(VLOOKUP(B11,'Finished Inventory'!A:C,3,FALSE()),"")</f>
        <v/>
      </c>
      <c r="D11" s="26">
        <f>IFERROR(VLOOKUP(B11,'Finished Inventory'!A:B,2,FALSE()),"")</f>
        <v/>
      </c>
      <c r="E11" s="36">
        <f>IFERROR(VLOOKUP(B11,'Finished Inventory'!A:G,7,FALSE()),"")</f>
        <v/>
      </c>
      <c r="F11" s="31" t="inlineStr">
        <is>
          <t>Yes</t>
        </is>
      </c>
      <c r="G11" s="36">
        <f>IF(F11="Yes",E11,0)</f>
        <v/>
      </c>
    </row>
    <row r="12" ht="15" customHeight="1" s="27">
      <c r="A12" s="26" t="n">
        <v>7</v>
      </c>
      <c r="B12" s="31" t="n"/>
      <c r="C12" s="26">
        <f>IFERROR(VLOOKUP(B12,'Finished Inventory'!A:C,3,FALSE()),"")</f>
        <v/>
      </c>
      <c r="D12" s="26">
        <f>IFERROR(VLOOKUP(B12,'Finished Inventory'!A:B,2,FALSE()),"")</f>
        <v/>
      </c>
      <c r="E12" s="36">
        <f>IFERROR(VLOOKUP(B12,'Finished Inventory'!A:G,7,FALSE()),"")</f>
        <v/>
      </c>
      <c r="F12" s="31" t="inlineStr">
        <is>
          <t>Yes</t>
        </is>
      </c>
      <c r="G12" s="36">
        <f>IF(F12="Yes",E12,0)</f>
        <v/>
      </c>
    </row>
    <row r="13" ht="15" customHeight="1" s="27">
      <c r="A13" s="26" t="n">
        <v>8</v>
      </c>
      <c r="B13" s="31" t="n"/>
      <c r="C13" s="26">
        <f>IFERROR(VLOOKUP(B13,'Finished Inventory'!A:C,3,FALSE()),"")</f>
        <v/>
      </c>
      <c r="D13" s="26">
        <f>IFERROR(VLOOKUP(B13,'Finished Inventory'!A:B,2,FALSE()),"")</f>
        <v/>
      </c>
      <c r="E13" s="36">
        <f>IFERROR(VLOOKUP(B13,'Finished Inventory'!A:G,7,FALSE()),"")</f>
        <v/>
      </c>
      <c r="F13" s="31" t="inlineStr">
        <is>
          <t>Yes</t>
        </is>
      </c>
      <c r="G13" s="36">
        <f>IF(F13="Yes",E13,0)</f>
        <v/>
      </c>
    </row>
    <row r="14" ht="15" customHeight="1" s="27">
      <c r="A14" s="26" t="n">
        <v>9</v>
      </c>
      <c r="B14" s="31" t="n"/>
      <c r="C14" s="26">
        <f>IFERROR(VLOOKUP(B14,'Finished Inventory'!A:C,3,FALSE()),"")</f>
        <v/>
      </c>
      <c r="D14" s="26">
        <f>IFERROR(VLOOKUP(B14,'Finished Inventory'!A:B,2,FALSE()),"")</f>
        <v/>
      </c>
      <c r="E14" s="36">
        <f>IFERROR(VLOOKUP(B14,'Finished Inventory'!A:G,7,FALSE()),"")</f>
        <v/>
      </c>
      <c r="F14" s="31" t="inlineStr">
        <is>
          <t>Yes</t>
        </is>
      </c>
      <c r="G14" s="36">
        <f>IF(F14="Yes",E14,0)</f>
        <v/>
      </c>
    </row>
    <row r="15" ht="15" customHeight="1" s="27">
      <c r="A15" s="26" t="n">
        <v>10</v>
      </c>
      <c r="B15" s="31" t="n"/>
      <c r="C15" s="26">
        <f>IFERROR(VLOOKUP(B15,'Finished Inventory'!A:C,3,FALSE()),"")</f>
        <v/>
      </c>
      <c r="D15" s="26">
        <f>IFERROR(VLOOKUP(B15,'Finished Inventory'!A:B,2,FALSE()),"")</f>
        <v/>
      </c>
      <c r="E15" s="36">
        <f>IFERROR(VLOOKUP(B15,'Finished Inventory'!A:G,7,FALSE()),"")</f>
        <v/>
      </c>
      <c r="F15" s="31" t="inlineStr">
        <is>
          <t>Yes</t>
        </is>
      </c>
      <c r="G15" s="36">
        <f>IF(F15="Yes",E15,0)</f>
        <v/>
      </c>
    </row>
    <row r="16" ht="15" customHeight="1" s="27">
      <c r="A16" s="26" t="n">
        <v>11</v>
      </c>
      <c r="B16" s="31" t="n"/>
      <c r="C16" s="26">
        <f>IFERROR(VLOOKUP(B16,'Finished Inventory'!A:C,3,FALSE()),"")</f>
        <v/>
      </c>
      <c r="D16" s="26">
        <f>IFERROR(VLOOKUP(B16,'Finished Inventory'!A:B,2,FALSE()),"")</f>
        <v/>
      </c>
      <c r="E16" s="36">
        <f>IFERROR(VLOOKUP(B16,'Finished Inventory'!A:G,7,FALSE()),"")</f>
        <v/>
      </c>
      <c r="F16" s="31" t="inlineStr">
        <is>
          <t>Yes</t>
        </is>
      </c>
      <c r="G16" s="36">
        <f>IF(F16="Yes",E16,0)</f>
        <v/>
      </c>
    </row>
    <row r="17" ht="15" customHeight="1" s="27">
      <c r="A17" s="26" t="n">
        <v>12</v>
      </c>
      <c r="B17" s="31" t="n"/>
      <c r="C17" s="26">
        <f>IFERROR(VLOOKUP(B17,'Finished Inventory'!A:C,3,FALSE()),"")</f>
        <v/>
      </c>
      <c r="D17" s="26">
        <f>IFERROR(VLOOKUP(B17,'Finished Inventory'!A:B,2,FALSE()),"")</f>
        <v/>
      </c>
      <c r="E17" s="36">
        <f>IFERROR(VLOOKUP(B17,'Finished Inventory'!A:G,7,FALSE()),"")</f>
        <v/>
      </c>
      <c r="F17" s="31" t="inlineStr">
        <is>
          <t>Yes</t>
        </is>
      </c>
      <c r="G17" s="36">
        <f>IF(F17="Yes",E17,0)</f>
        <v/>
      </c>
    </row>
    <row r="18" ht="15" customHeight="1" s="27">
      <c r="A18" s="26" t="n">
        <v>13</v>
      </c>
      <c r="B18" s="31" t="n"/>
      <c r="C18" s="26">
        <f>IFERROR(VLOOKUP(B18,'Finished Inventory'!A:C,3,FALSE()),"")</f>
        <v/>
      </c>
      <c r="D18" s="26">
        <f>IFERROR(VLOOKUP(B18,'Finished Inventory'!A:B,2,FALSE()),"")</f>
        <v/>
      </c>
      <c r="E18" s="36">
        <f>IFERROR(VLOOKUP(B18,'Finished Inventory'!A:G,7,FALSE()),"")</f>
        <v/>
      </c>
      <c r="F18" s="31" t="inlineStr">
        <is>
          <t>Yes</t>
        </is>
      </c>
      <c r="G18" s="36">
        <f>IF(F18="Yes",E18,0)</f>
        <v/>
      </c>
    </row>
    <row r="19" ht="15" customHeight="1" s="27">
      <c r="A19" s="26" t="n">
        <v>14</v>
      </c>
      <c r="B19" s="31" t="n"/>
      <c r="C19" s="26">
        <f>IFERROR(VLOOKUP(B19,'Finished Inventory'!A:C,3,FALSE()),"")</f>
        <v/>
      </c>
      <c r="D19" s="26">
        <f>IFERROR(VLOOKUP(B19,'Finished Inventory'!A:B,2,FALSE()),"")</f>
        <v/>
      </c>
      <c r="E19" s="36">
        <f>IFERROR(VLOOKUP(B19,'Finished Inventory'!A:G,7,FALSE()),"")</f>
        <v/>
      </c>
      <c r="F19" s="31" t="inlineStr">
        <is>
          <t>Yes</t>
        </is>
      </c>
      <c r="G19" s="36">
        <f>IF(F19="Yes",E19,0)</f>
        <v/>
      </c>
    </row>
    <row r="20" ht="15" customHeight="1" s="27">
      <c r="A20" s="26" t="n">
        <v>15</v>
      </c>
      <c r="B20" s="31" t="n"/>
      <c r="C20" s="26">
        <f>IFERROR(VLOOKUP(B20,'Finished Inventory'!A:C,3,FALSE()),"")</f>
        <v/>
      </c>
      <c r="D20" s="26">
        <f>IFERROR(VLOOKUP(B20,'Finished Inventory'!A:B,2,FALSE()),"")</f>
        <v/>
      </c>
      <c r="E20" s="36">
        <f>IFERROR(VLOOKUP(B20,'Finished Inventory'!A:G,7,FALSE()),"")</f>
        <v/>
      </c>
      <c r="F20" s="31" t="inlineStr">
        <is>
          <t>Yes</t>
        </is>
      </c>
      <c r="G20" s="36">
        <f>IF(F20="Yes",E20,0)</f>
        <v/>
      </c>
    </row>
    <row r="21" ht="15" customHeight="1" s="27">
      <c r="A21" s="26" t="n">
        <v>16</v>
      </c>
      <c r="B21" s="31" t="n"/>
      <c r="C21" s="26">
        <f>IFERROR(VLOOKUP(B21,'Finished Inventory'!A:C,3,FALSE()),"")</f>
        <v/>
      </c>
      <c r="D21" s="26">
        <f>IFERROR(VLOOKUP(B21,'Finished Inventory'!A:B,2,FALSE()),"")</f>
        <v/>
      </c>
      <c r="E21" s="36">
        <f>IFERROR(VLOOKUP(B21,'Finished Inventory'!A:G,7,FALSE()),"")</f>
        <v/>
      </c>
      <c r="F21" s="31" t="inlineStr">
        <is>
          <t>Yes</t>
        </is>
      </c>
      <c r="G21" s="36">
        <f>IF(F21="Yes",E21,0)</f>
        <v/>
      </c>
    </row>
    <row r="22" ht="15" customHeight="1" s="27">
      <c r="A22" s="26" t="n">
        <v>17</v>
      </c>
      <c r="B22" s="31" t="n"/>
      <c r="C22" s="26">
        <f>IFERROR(VLOOKUP(B22,'Finished Inventory'!A:C,3,FALSE()),"")</f>
        <v/>
      </c>
      <c r="D22" s="26">
        <f>IFERROR(VLOOKUP(B22,'Finished Inventory'!A:B,2,FALSE()),"")</f>
        <v/>
      </c>
      <c r="E22" s="36">
        <f>IFERROR(VLOOKUP(B22,'Finished Inventory'!A:G,7,FALSE()),"")</f>
        <v/>
      </c>
      <c r="F22" s="31" t="inlineStr">
        <is>
          <t>Yes</t>
        </is>
      </c>
      <c r="G22" s="36">
        <f>IF(F22="Yes",E22,0)</f>
        <v/>
      </c>
    </row>
    <row r="23" ht="15" customHeight="1" s="27">
      <c r="A23" s="26" t="n">
        <v>18</v>
      </c>
      <c r="B23" s="31" t="n"/>
      <c r="C23" s="26">
        <f>IFERROR(VLOOKUP(B23,'Finished Inventory'!A:C,3,FALSE()),"")</f>
        <v/>
      </c>
      <c r="D23" s="26">
        <f>IFERROR(VLOOKUP(B23,'Finished Inventory'!A:B,2,FALSE()),"")</f>
        <v/>
      </c>
      <c r="E23" s="36">
        <f>IFERROR(VLOOKUP(B23,'Finished Inventory'!A:G,7,FALSE()),"")</f>
        <v/>
      </c>
      <c r="F23" s="31" t="inlineStr">
        <is>
          <t>Yes</t>
        </is>
      </c>
      <c r="G23" s="36">
        <f>IF(F23="Yes",E23,0)</f>
        <v/>
      </c>
    </row>
    <row r="24" ht="15" customHeight="1" s="27">
      <c r="A24" s="26" t="n">
        <v>19</v>
      </c>
      <c r="B24" s="31" t="n"/>
      <c r="C24" s="26">
        <f>IFERROR(VLOOKUP(B24,'Finished Inventory'!A:C,3,FALSE()),"")</f>
        <v/>
      </c>
      <c r="D24" s="26">
        <f>IFERROR(VLOOKUP(B24,'Finished Inventory'!A:B,2,FALSE()),"")</f>
        <v/>
      </c>
      <c r="E24" s="36">
        <f>IFERROR(VLOOKUP(B24,'Finished Inventory'!A:G,7,FALSE()),"")</f>
        <v/>
      </c>
      <c r="F24" s="31" t="inlineStr">
        <is>
          <t>Yes</t>
        </is>
      </c>
      <c r="G24" s="36">
        <f>IF(F24="Yes",E24,0)</f>
        <v/>
      </c>
    </row>
    <row r="25" ht="15" customHeight="1" s="27">
      <c r="A25" s="26" t="n">
        <v>20</v>
      </c>
      <c r="B25" s="31" t="n"/>
      <c r="C25" s="26">
        <f>IFERROR(VLOOKUP(B25,'Finished Inventory'!A:C,3,FALSE()),"")</f>
        <v/>
      </c>
      <c r="D25" s="26">
        <f>IFERROR(VLOOKUP(B25,'Finished Inventory'!A:B,2,FALSE()),"")</f>
        <v/>
      </c>
      <c r="E25" s="36">
        <f>IFERROR(VLOOKUP(B25,'Finished Inventory'!A:G,7,FALSE()),"")</f>
        <v/>
      </c>
      <c r="F25" s="31" t="inlineStr">
        <is>
          <t>Yes</t>
        </is>
      </c>
      <c r="G25" s="36">
        <f>IF(F25="Yes",E25,0)</f>
        <v/>
      </c>
    </row>
    <row r="27" ht="15" customHeight="1" s="27">
      <c r="E27" s="58" t="inlineStr">
        <is>
          <t>Subtotal:</t>
        </is>
      </c>
      <c r="G27" s="61">
        <f>SUM(G6:G25)</f>
        <v/>
      </c>
    </row>
    <row r="28" ht="15" customHeight="1" s="27">
      <c r="E28" s="58" t="inlineStr">
        <is>
          <t>Discount:</t>
        </is>
      </c>
      <c r="G28" s="36">
        <f>G27*F3</f>
        <v/>
      </c>
    </row>
    <row r="29" ht="15" customHeight="1" s="27">
      <c r="E29" s="62" t="inlineStr">
        <is>
          <t>Bundle Total:</t>
        </is>
      </c>
      <c r="G29" s="63">
        <f>G27-G28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6" min="1" max="2"/>
  </cols>
  <sheetData>
    <row r="1" ht="19.7" customHeight="1" s="27">
      <c r="A1" s="64" t="inlineStr">
        <is>
          <t>SEARCH &amp; FILTER</t>
        </is>
      </c>
    </row>
    <row r="3" ht="15" customHeight="1" s="27">
      <c r="A3" s="62" t="inlineStr">
        <is>
          <t>Filter Criteria:</t>
        </is>
      </c>
    </row>
    <row r="4" ht="15" customHeight="1" s="27">
      <c r="A4" s="58" t="inlineStr">
        <is>
          <t>Category:</t>
        </is>
      </c>
      <c r="B4" s="31" t="n"/>
    </row>
    <row r="5" ht="15" customHeight="1" s="27">
      <c r="A5" s="58" t="inlineStr">
        <is>
          <t>Metal Type:</t>
        </is>
      </c>
      <c r="B5" s="31" t="n"/>
    </row>
    <row r="6" ht="15" customHeight="1" s="27">
      <c r="A6" s="58" t="inlineStr">
        <is>
          <t>Price Range Min:</t>
        </is>
      </c>
      <c r="B6" s="35" t="n"/>
    </row>
    <row r="7" ht="15" customHeight="1" s="27">
      <c r="A7" s="58" t="inlineStr">
        <is>
          <t>Price Range Max:</t>
        </is>
      </c>
      <c r="B7" s="35" t="n"/>
    </row>
    <row r="8" ht="15" customHeight="1" s="27">
      <c r="A8" s="58" t="inlineStr">
        <is>
          <t>Search Text:</t>
        </is>
      </c>
      <c r="B8" s="31" t="n"/>
    </row>
    <row r="10" ht="15" customHeight="1" s="27">
      <c r="A10" s="55" t="inlineStr">
        <is>
          <t>TIP: Use Excel's built-in Filter (Data &gt; Filter) on the Finished Inventory sheet for advanced filtering.</t>
        </is>
      </c>
    </row>
    <row r="12" ht="15" customHeight="1" s="27">
      <c r="A12" s="62" t="inlineStr">
        <is>
          <t>QUICK STATS</t>
        </is>
      </c>
    </row>
    <row r="13" ht="15" customHeight="1" s="27">
      <c r="A13" s="58" t="inlineStr">
        <is>
          <t>Total Items:</t>
        </is>
      </c>
      <c r="B13" s="26">
        <f>COUNTA('Finished Inventory'!A:A)-1</f>
        <v/>
      </c>
    </row>
    <row r="14" ht="15" customHeight="1" s="27">
      <c r="A14" s="58" t="inlineStr">
        <is>
          <t>Total Inventory Value:</t>
        </is>
      </c>
      <c r="B14" s="36">
        <f>SUMIF('Finished Inventory'!G:G,"&gt;0",'Finished Inventory'!G:G)</f>
        <v/>
      </c>
    </row>
    <row r="15" ht="15" customHeight="1" s="27">
      <c r="A15" s="58" t="inlineStr">
        <is>
          <t>Average Price:</t>
        </is>
      </c>
      <c r="B15" s="36">
        <f>AVERAGEIF('Finished Inventory'!G:G,"&gt;0",'Finished Inventory'!G:G)</f>
        <v/>
      </c>
    </row>
    <row r="17" ht="15" customHeight="1" s="27">
      <c r="A17" s="58" t="inlineStr">
        <is>
          <t>Items by Category:</t>
        </is>
      </c>
    </row>
    <row r="18" ht="15" customHeight="1" s="27">
      <c r="A18" s="26" t="inlineStr">
        <is>
          <t>Necklace:</t>
        </is>
      </c>
      <c r="B18" s="26">
        <f>COUNTIF('Finished Inventory'!B:B,"necklace")</f>
        <v/>
      </c>
    </row>
    <row r="19" ht="15" customHeight="1" s="27">
      <c r="A19" s="26" t="inlineStr">
        <is>
          <t>Bracelet:</t>
        </is>
      </c>
      <c r="B19" s="26">
        <f>COUNTIF('Finished Inventory'!B:B,"bracelet")</f>
        <v/>
      </c>
    </row>
    <row r="20" ht="15" customHeight="1" s="27">
      <c r="A20" s="26" t="inlineStr">
        <is>
          <t>Earring:</t>
        </is>
      </c>
      <c r="B20" s="26">
        <f>COUNTIF('Finished Inventory'!B:B,"earring")</f>
        <v/>
      </c>
    </row>
    <row r="21" ht="15" customHeight="1" s="27">
      <c r="A21" s="26" t="inlineStr">
        <is>
          <t>Ring:</t>
        </is>
      </c>
      <c r="B21" s="26">
        <f>COUNTIF('Finished Inventory'!B:B,"ring")</f>
        <v/>
      </c>
    </row>
    <row r="22" ht="15" customHeight="1" s="27">
      <c r="A22" s="26" t="inlineStr">
        <is>
          <t>Set:</t>
        </is>
      </c>
      <c r="B22" s="26">
        <f>COUNTIF('Finished Inventory'!B:B,"set")</f>
        <v/>
      </c>
    </row>
  </sheetData>
  <mergeCells count="2">
    <mergeCell ref="A1:F1"/>
    <mergeCell ref="A10:F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0" customWidth="1" style="27" min="1" max="1"/>
  </cols>
  <sheetData>
    <row r="1" ht="30" customHeight="1" s="27">
      <c r="A1" s="42" t="inlineStr">
        <is>
          <t>📸 QUICK IMAGE UPLOAD GUIDE</t>
        </is>
      </c>
    </row>
    <row r="2">
      <c r="A2" t="inlineStr"/>
    </row>
    <row r="3">
      <c r="A3" s="65" t="inlineStr">
        <is>
          <t>EASIEST METHOD: Google Drive (100% FREE)</t>
        </is>
      </c>
    </row>
    <row r="4">
      <c r="A4" t="inlineStr"/>
    </row>
    <row r="5">
      <c r="A5" s="66" t="inlineStr">
        <is>
          <t>1. Create a folder in Google Drive for jewelry images</t>
        </is>
      </c>
    </row>
    <row r="6">
      <c r="A6" s="66" t="inlineStr">
        <is>
          <t>2. Upload all your jewelry photos to that folder</t>
        </is>
      </c>
    </row>
    <row r="7">
      <c r="A7" s="66" t="inlineStr">
        <is>
          <t>3. For each photo:</t>
        </is>
      </c>
    </row>
    <row r="8">
      <c r="A8" s="67" t="inlineStr">
        <is>
          <t xml:space="preserve">       • Right-click the image &gt; Share</t>
        </is>
      </c>
    </row>
    <row r="9">
      <c r="A9" s="67" t="inlineStr">
        <is>
          <t xml:space="preserve">       • Change to "Anyone with the link"</t>
        </is>
      </c>
    </row>
    <row r="10">
      <c r="A10" s="67" t="inlineStr">
        <is>
          <t xml:space="preserve">       • Click "Copy link"</t>
        </is>
      </c>
    </row>
    <row r="11">
      <c r="A11" s="67" t="inlineStr">
        <is>
          <t xml:space="preserve">       • Go to "Image Management" sheet</t>
        </is>
      </c>
    </row>
    <row r="12">
      <c r="A12" s="67" t="inlineStr">
        <is>
          <t xml:space="preserve">       • Paste in the Google Drive URL Converter</t>
        </is>
      </c>
    </row>
    <row r="13">
      <c r="A13" s="67" t="inlineStr">
        <is>
          <t xml:space="preserve">       • Copy the generated Direct Image URL</t>
        </is>
      </c>
    </row>
    <row r="14">
      <c r="A14" s="67" t="inlineStr">
        <is>
          <t xml:space="preserve">       • Paste in your Finished Inventory "Images" column</t>
        </is>
      </c>
    </row>
    <row r="15">
      <c r="A15" t="inlineStr"/>
    </row>
    <row r="16">
      <c r="A16" s="65" t="inlineStr">
        <is>
          <t>BULK UPLOAD METHOD</t>
        </is>
      </c>
    </row>
    <row r="17">
      <c r="A17" t="inlineStr"/>
    </row>
    <row r="18">
      <c r="A18" s="66" t="inlineStr">
        <is>
          <t>If you upload many images to the same location:</t>
        </is>
      </c>
    </row>
    <row r="19">
      <c r="A19" s="66" t="inlineStr">
        <is>
          <t>1. Upload all images to Shopify/website/Google Drive</t>
        </is>
      </c>
    </row>
    <row r="20">
      <c r="A20" s="66" t="inlineStr">
        <is>
          <t>2. Note the base URL pattern</t>
        </is>
      </c>
    </row>
    <row r="21">
      <c r="A21" s="67" t="inlineStr">
        <is>
          <t xml:space="preserve">       Example: https://yoursite.com/images/</t>
        </is>
      </c>
    </row>
    <row r="22">
      <c r="A22" s="66" t="inlineStr">
        <is>
          <t>3. Name your files systematically</t>
        </is>
      </c>
    </row>
    <row r="23">
      <c r="A23" s="67" t="inlineStr">
        <is>
          <t xml:space="preserve">       Example: BRAC_001.jpg, BRAC_002.jpg</t>
        </is>
      </c>
    </row>
    <row r="24">
      <c r="A24" s="66" t="inlineStr">
        <is>
          <t>4. Use the "Auto URL Generator" in Image Management sheet</t>
        </is>
      </c>
    </row>
    <row r="25">
      <c r="A25" s="67" t="inlineStr">
        <is>
          <t xml:space="preserve">       • Enter your base URL</t>
        </is>
      </c>
    </row>
    <row r="26">
      <c r="A26" s="67" t="inlineStr">
        <is>
          <t xml:space="preserve">       • Enter filenames</t>
        </is>
      </c>
    </row>
    <row r="27">
      <c r="A27" s="67" t="inlineStr">
        <is>
          <t xml:space="preserve">       • Copy generated URLs to Finished Inventory</t>
        </is>
      </c>
    </row>
    <row r="28">
      <c r="A28" t="inlineStr"/>
    </row>
    <row r="29">
      <c r="A29" s="65" t="inlineStr">
        <is>
          <t>VIEWING IMAGES IN EXCEL</t>
        </is>
      </c>
    </row>
    <row r="30">
      <c r="A30" t="inlineStr"/>
    </row>
    <row r="31">
      <c r="A31" s="66" t="inlineStr">
        <is>
          <t>• Click any blue hyperlink in the Images column</t>
        </is>
      </c>
    </row>
    <row r="32">
      <c r="A32" s="66" t="inlineStr">
        <is>
          <t>• Your default browser will open showing the image</t>
        </is>
      </c>
    </row>
    <row r="33">
      <c r="A33" s="66" t="inlineStr">
        <is>
          <t>• OR: Right-click URL &gt; Open Hyperlink</t>
        </is>
      </c>
    </row>
    <row r="34">
      <c r="A34" t="inlineStr"/>
    </row>
    <row r="35">
      <c r="A35" s="65" t="inlineStr">
        <is>
          <t>FREE IMAGE HOSTING OPTIONS</t>
        </is>
      </c>
    </row>
    <row r="36">
      <c r="A36" t="inlineStr"/>
    </row>
    <row r="37">
      <c r="A37" s="66" t="inlineStr">
        <is>
          <t>✓ Google Drive (Unlimited with Google account)</t>
        </is>
      </c>
    </row>
    <row r="38">
      <c r="A38" s="66" t="inlineStr">
        <is>
          <t>✓ Imgur (Free, easy, no account needed)</t>
        </is>
      </c>
    </row>
    <row r="39">
      <c r="A39" s="66" t="inlineStr">
        <is>
          <t>✓ Your Shopify store (if you have one)</t>
        </is>
      </c>
    </row>
    <row r="40">
      <c r="A40" s="66" t="inlineStr">
        <is>
          <t>✓ Dropbox (2GB free)</t>
        </is>
      </c>
    </row>
  </sheetData>
  <mergeCells count="32">
    <mergeCell ref="A25:C25"/>
    <mergeCell ref="A37:C37"/>
    <mergeCell ref="A18:C18"/>
    <mergeCell ref="A27:C27"/>
    <mergeCell ref="A3:C3"/>
    <mergeCell ref="A21:C21"/>
    <mergeCell ref="A12:C12"/>
    <mergeCell ref="A26:C26"/>
    <mergeCell ref="A33:C33"/>
    <mergeCell ref="A5:C5"/>
    <mergeCell ref="A23:C23"/>
    <mergeCell ref="A32:C32"/>
    <mergeCell ref="A8:C8"/>
    <mergeCell ref="A14:C14"/>
    <mergeCell ref="A22:C22"/>
    <mergeCell ref="A29:C29"/>
    <mergeCell ref="A35:C35"/>
    <mergeCell ref="A20:C20"/>
    <mergeCell ref="A38:C38"/>
    <mergeCell ref="A10:C10"/>
    <mergeCell ref="A13:C13"/>
    <mergeCell ref="A19:C19"/>
    <mergeCell ref="A31:C31"/>
    <mergeCell ref="A40:C40"/>
    <mergeCell ref="A9:C9"/>
    <mergeCell ref="A39:C39"/>
    <mergeCell ref="A24:C24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2026-01-03T16:29:34Z</dcterms:created>
  <dcterms:modified xmlns:dcterms="http://purl.org/dc/terms/" xmlns:xsi="http://www.w3.org/2001/XMLSchema-instance" xsi:type="dcterms:W3CDTF">2026-01-03T16:36:18Z</dcterms:modified>
  <cp:revision>0</cp:revision>
</cp:coreProperties>
</file>